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b9065d4af002044d/"/>
    </mc:Choice>
  </mc:AlternateContent>
  <xr:revisionPtr revIDLastSave="0" documentId="8_{8D897476-03FE-4551-8936-5BFC59CF277F}" xr6:coauthVersionLast="47" xr6:coauthVersionMax="47" xr10:uidLastSave="{00000000-0000-0000-0000-000000000000}"/>
  <bookViews>
    <workbookView xWindow="-108" yWindow="-108" windowWidth="23256" windowHeight="13176" activeTab="2" xr2:uid="{F4E7E095-D1AC-4E33-97DA-45E540F881E2}"/>
  </bookViews>
  <sheets>
    <sheet name="gender analysis" sheetId="3" r:id="rId1"/>
    <sheet name="grade distribution" sheetId="4" r:id="rId2"/>
    <sheet name="Dashboard" sheetId="5" r:id="rId3"/>
    <sheet name="attendance vs final score" sheetId="6" r:id="rId4"/>
    <sheet name="Raw data" sheetId="1" r:id="rId5"/>
  </sheets>
  <definedNames>
    <definedName name="Slicer_attendance_rate">#N/A</definedName>
    <definedName name="Slicer_final_score">#N/A</definedName>
    <definedName name="Slicer_gender">#N/A</definedName>
    <definedName name="Slicer_Grade">#N/A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01" i="1" l="1"/>
  <c r="M501" i="1"/>
  <c r="L501" i="1"/>
  <c r="K501" i="1"/>
  <c r="J501" i="1"/>
  <c r="I501" i="1"/>
  <c r="H501" i="1"/>
  <c r="G501" i="1"/>
  <c r="N500" i="1"/>
  <c r="M500" i="1"/>
  <c r="L500" i="1"/>
  <c r="K500" i="1"/>
  <c r="J500" i="1"/>
  <c r="I500" i="1"/>
  <c r="H500" i="1"/>
  <c r="G500" i="1"/>
  <c r="N499" i="1"/>
  <c r="M499" i="1"/>
  <c r="L499" i="1"/>
  <c r="K499" i="1"/>
  <c r="J499" i="1"/>
  <c r="I499" i="1"/>
  <c r="H499" i="1"/>
  <c r="G499" i="1"/>
  <c r="N498" i="1"/>
  <c r="M498" i="1"/>
  <c r="L498" i="1"/>
  <c r="K498" i="1"/>
  <c r="J498" i="1"/>
  <c r="I498" i="1"/>
  <c r="H498" i="1"/>
  <c r="G498" i="1"/>
  <c r="N497" i="1"/>
  <c r="M497" i="1"/>
  <c r="L497" i="1"/>
  <c r="K497" i="1"/>
  <c r="J497" i="1"/>
  <c r="I497" i="1"/>
  <c r="H497" i="1"/>
  <c r="G497" i="1"/>
  <c r="N496" i="1"/>
  <c r="M496" i="1"/>
  <c r="L496" i="1"/>
  <c r="K496" i="1"/>
  <c r="J496" i="1"/>
  <c r="I496" i="1"/>
  <c r="H496" i="1"/>
  <c r="G496" i="1"/>
  <c r="N495" i="1"/>
  <c r="M495" i="1"/>
  <c r="L495" i="1"/>
  <c r="K495" i="1"/>
  <c r="J495" i="1"/>
  <c r="I495" i="1"/>
  <c r="H495" i="1"/>
  <c r="G495" i="1"/>
  <c r="N494" i="1"/>
  <c r="M494" i="1"/>
  <c r="L494" i="1"/>
  <c r="K494" i="1"/>
  <c r="J494" i="1"/>
  <c r="I494" i="1"/>
  <c r="H494" i="1"/>
  <c r="G494" i="1"/>
  <c r="N493" i="1"/>
  <c r="M493" i="1"/>
  <c r="L493" i="1"/>
  <c r="K493" i="1"/>
  <c r="J493" i="1"/>
  <c r="I493" i="1"/>
  <c r="H493" i="1"/>
  <c r="G493" i="1"/>
  <c r="N492" i="1"/>
  <c r="M492" i="1"/>
  <c r="L492" i="1"/>
  <c r="K492" i="1"/>
  <c r="J492" i="1"/>
  <c r="I492" i="1"/>
  <c r="H492" i="1"/>
  <c r="G492" i="1"/>
  <c r="N491" i="1"/>
  <c r="M491" i="1"/>
  <c r="L491" i="1"/>
  <c r="K491" i="1"/>
  <c r="J491" i="1"/>
  <c r="I491" i="1"/>
  <c r="H491" i="1"/>
  <c r="G491" i="1"/>
  <c r="N490" i="1"/>
  <c r="M490" i="1"/>
  <c r="L490" i="1"/>
  <c r="K490" i="1"/>
  <c r="J490" i="1"/>
  <c r="I490" i="1"/>
  <c r="H490" i="1"/>
  <c r="G490" i="1"/>
  <c r="N489" i="1"/>
  <c r="M489" i="1"/>
  <c r="L489" i="1"/>
  <c r="K489" i="1"/>
  <c r="J489" i="1"/>
  <c r="I489" i="1"/>
  <c r="H489" i="1"/>
  <c r="G489" i="1"/>
  <c r="N488" i="1"/>
  <c r="M488" i="1"/>
  <c r="L488" i="1"/>
  <c r="K488" i="1"/>
  <c r="J488" i="1"/>
  <c r="I488" i="1"/>
  <c r="H488" i="1"/>
  <c r="G488" i="1"/>
  <c r="N487" i="1"/>
  <c r="M487" i="1"/>
  <c r="L487" i="1"/>
  <c r="K487" i="1"/>
  <c r="J487" i="1"/>
  <c r="I487" i="1"/>
  <c r="H487" i="1"/>
  <c r="G487" i="1"/>
  <c r="N486" i="1"/>
  <c r="M486" i="1"/>
  <c r="L486" i="1"/>
  <c r="K486" i="1"/>
  <c r="J486" i="1"/>
  <c r="I486" i="1"/>
  <c r="H486" i="1"/>
  <c r="G486" i="1"/>
  <c r="N485" i="1"/>
  <c r="M485" i="1"/>
  <c r="L485" i="1"/>
  <c r="K485" i="1"/>
  <c r="J485" i="1"/>
  <c r="I485" i="1"/>
  <c r="H485" i="1"/>
  <c r="G485" i="1"/>
  <c r="N484" i="1"/>
  <c r="M484" i="1"/>
  <c r="L484" i="1"/>
  <c r="K484" i="1"/>
  <c r="J484" i="1"/>
  <c r="I484" i="1"/>
  <c r="H484" i="1"/>
  <c r="G484" i="1"/>
  <c r="N483" i="1"/>
  <c r="M483" i="1"/>
  <c r="L483" i="1"/>
  <c r="K483" i="1"/>
  <c r="J483" i="1"/>
  <c r="I483" i="1"/>
  <c r="H483" i="1"/>
  <c r="G483" i="1"/>
  <c r="N482" i="1"/>
  <c r="M482" i="1"/>
  <c r="L482" i="1"/>
  <c r="K482" i="1"/>
  <c r="J482" i="1"/>
  <c r="I482" i="1"/>
  <c r="H482" i="1"/>
  <c r="G482" i="1"/>
  <c r="N481" i="1"/>
  <c r="M481" i="1"/>
  <c r="L481" i="1"/>
  <c r="K481" i="1"/>
  <c r="J481" i="1"/>
  <c r="I481" i="1"/>
  <c r="H481" i="1"/>
  <c r="G481" i="1"/>
  <c r="N480" i="1"/>
  <c r="M480" i="1"/>
  <c r="L480" i="1"/>
  <c r="K480" i="1"/>
  <c r="J480" i="1"/>
  <c r="I480" i="1"/>
  <c r="H480" i="1"/>
  <c r="G480" i="1"/>
  <c r="N479" i="1"/>
  <c r="M479" i="1"/>
  <c r="L479" i="1"/>
  <c r="K479" i="1"/>
  <c r="J479" i="1"/>
  <c r="I479" i="1"/>
  <c r="H479" i="1"/>
  <c r="G479" i="1"/>
  <c r="N478" i="1"/>
  <c r="M478" i="1"/>
  <c r="L478" i="1"/>
  <c r="K478" i="1"/>
  <c r="J478" i="1"/>
  <c r="I478" i="1"/>
  <c r="H478" i="1"/>
  <c r="G478" i="1"/>
  <c r="N477" i="1"/>
  <c r="M477" i="1"/>
  <c r="L477" i="1"/>
  <c r="K477" i="1"/>
  <c r="J477" i="1"/>
  <c r="I477" i="1"/>
  <c r="H477" i="1"/>
  <c r="G477" i="1"/>
  <c r="N476" i="1"/>
  <c r="M476" i="1"/>
  <c r="L476" i="1"/>
  <c r="K476" i="1"/>
  <c r="J476" i="1"/>
  <c r="I476" i="1"/>
  <c r="H476" i="1"/>
  <c r="G476" i="1"/>
  <c r="N475" i="1"/>
  <c r="M475" i="1"/>
  <c r="L475" i="1"/>
  <c r="K475" i="1"/>
  <c r="J475" i="1"/>
  <c r="I475" i="1"/>
  <c r="H475" i="1"/>
  <c r="G475" i="1"/>
  <c r="N474" i="1"/>
  <c r="M474" i="1"/>
  <c r="L474" i="1"/>
  <c r="K474" i="1"/>
  <c r="J474" i="1"/>
  <c r="I474" i="1"/>
  <c r="H474" i="1"/>
  <c r="G474" i="1"/>
  <c r="N473" i="1"/>
  <c r="M473" i="1"/>
  <c r="L473" i="1"/>
  <c r="K473" i="1"/>
  <c r="J473" i="1"/>
  <c r="I473" i="1"/>
  <c r="H473" i="1"/>
  <c r="G473" i="1"/>
  <c r="N472" i="1"/>
  <c r="M472" i="1"/>
  <c r="L472" i="1"/>
  <c r="K472" i="1"/>
  <c r="J472" i="1"/>
  <c r="I472" i="1"/>
  <c r="H472" i="1"/>
  <c r="G472" i="1"/>
  <c r="N471" i="1"/>
  <c r="M471" i="1"/>
  <c r="L471" i="1"/>
  <c r="K471" i="1"/>
  <c r="J471" i="1"/>
  <c r="I471" i="1"/>
  <c r="H471" i="1"/>
  <c r="G471" i="1"/>
  <c r="N470" i="1"/>
  <c r="M470" i="1"/>
  <c r="L470" i="1"/>
  <c r="K470" i="1"/>
  <c r="J470" i="1"/>
  <c r="I470" i="1"/>
  <c r="H470" i="1"/>
  <c r="G470" i="1"/>
  <c r="N469" i="1"/>
  <c r="M469" i="1"/>
  <c r="L469" i="1"/>
  <c r="K469" i="1"/>
  <c r="J469" i="1"/>
  <c r="I469" i="1"/>
  <c r="H469" i="1"/>
  <c r="G469" i="1"/>
  <c r="N468" i="1"/>
  <c r="M468" i="1"/>
  <c r="L468" i="1"/>
  <c r="K468" i="1"/>
  <c r="J468" i="1"/>
  <c r="I468" i="1"/>
  <c r="H468" i="1"/>
  <c r="G468" i="1"/>
  <c r="N467" i="1"/>
  <c r="M467" i="1"/>
  <c r="L467" i="1"/>
  <c r="K467" i="1"/>
  <c r="J467" i="1"/>
  <c r="I467" i="1"/>
  <c r="H467" i="1"/>
  <c r="G467" i="1"/>
  <c r="N466" i="1"/>
  <c r="M466" i="1"/>
  <c r="L466" i="1"/>
  <c r="K466" i="1"/>
  <c r="J466" i="1"/>
  <c r="I466" i="1"/>
  <c r="H466" i="1"/>
  <c r="G466" i="1"/>
  <c r="N465" i="1"/>
  <c r="M465" i="1"/>
  <c r="L465" i="1"/>
  <c r="K465" i="1"/>
  <c r="J465" i="1"/>
  <c r="I465" i="1"/>
  <c r="H465" i="1"/>
  <c r="G465" i="1"/>
  <c r="N464" i="1"/>
  <c r="M464" i="1"/>
  <c r="L464" i="1"/>
  <c r="K464" i="1"/>
  <c r="J464" i="1"/>
  <c r="I464" i="1"/>
  <c r="H464" i="1"/>
  <c r="G464" i="1"/>
  <c r="N463" i="1"/>
  <c r="M463" i="1"/>
  <c r="L463" i="1"/>
  <c r="K463" i="1"/>
  <c r="J463" i="1"/>
  <c r="I463" i="1"/>
  <c r="H463" i="1"/>
  <c r="G463" i="1"/>
  <c r="N462" i="1"/>
  <c r="M462" i="1"/>
  <c r="L462" i="1"/>
  <c r="K462" i="1"/>
  <c r="J462" i="1"/>
  <c r="I462" i="1"/>
  <c r="H462" i="1"/>
  <c r="G462" i="1"/>
  <c r="N461" i="1"/>
  <c r="M461" i="1"/>
  <c r="L461" i="1"/>
  <c r="K461" i="1"/>
  <c r="J461" i="1"/>
  <c r="I461" i="1"/>
  <c r="H461" i="1"/>
  <c r="G461" i="1"/>
  <c r="N460" i="1"/>
  <c r="M460" i="1"/>
  <c r="L460" i="1"/>
  <c r="K460" i="1"/>
  <c r="J460" i="1"/>
  <c r="I460" i="1"/>
  <c r="H460" i="1"/>
  <c r="G460" i="1"/>
  <c r="N459" i="1"/>
  <c r="M459" i="1"/>
  <c r="L459" i="1"/>
  <c r="K459" i="1"/>
  <c r="J459" i="1"/>
  <c r="I459" i="1"/>
  <c r="H459" i="1"/>
  <c r="G459" i="1"/>
  <c r="N458" i="1"/>
  <c r="M458" i="1"/>
  <c r="L458" i="1"/>
  <c r="K458" i="1"/>
  <c r="J458" i="1"/>
  <c r="I458" i="1"/>
  <c r="H458" i="1"/>
  <c r="G458" i="1"/>
  <c r="N457" i="1"/>
  <c r="M457" i="1"/>
  <c r="L457" i="1"/>
  <c r="K457" i="1"/>
  <c r="J457" i="1"/>
  <c r="I457" i="1"/>
  <c r="H457" i="1"/>
  <c r="G457" i="1"/>
  <c r="N456" i="1"/>
  <c r="M456" i="1"/>
  <c r="L456" i="1"/>
  <c r="K456" i="1"/>
  <c r="J456" i="1"/>
  <c r="I456" i="1"/>
  <c r="H456" i="1"/>
  <c r="G456" i="1"/>
  <c r="N455" i="1"/>
  <c r="M455" i="1"/>
  <c r="L455" i="1"/>
  <c r="K455" i="1"/>
  <c r="J455" i="1"/>
  <c r="I455" i="1"/>
  <c r="H455" i="1"/>
  <c r="G455" i="1"/>
  <c r="N454" i="1"/>
  <c r="M454" i="1"/>
  <c r="L454" i="1"/>
  <c r="K454" i="1"/>
  <c r="J454" i="1"/>
  <c r="I454" i="1"/>
  <c r="H454" i="1"/>
  <c r="G454" i="1"/>
  <c r="N453" i="1"/>
  <c r="M453" i="1"/>
  <c r="L453" i="1"/>
  <c r="K453" i="1"/>
  <c r="J453" i="1"/>
  <c r="I453" i="1"/>
  <c r="H453" i="1"/>
  <c r="G453" i="1"/>
  <c r="N452" i="1"/>
  <c r="M452" i="1"/>
  <c r="L452" i="1"/>
  <c r="K452" i="1"/>
  <c r="J452" i="1"/>
  <c r="I452" i="1"/>
  <c r="H452" i="1"/>
  <c r="G452" i="1"/>
  <c r="N451" i="1"/>
  <c r="M451" i="1"/>
  <c r="L451" i="1"/>
  <c r="K451" i="1"/>
  <c r="J451" i="1"/>
  <c r="I451" i="1"/>
  <c r="H451" i="1"/>
  <c r="G451" i="1"/>
  <c r="N450" i="1"/>
  <c r="M450" i="1"/>
  <c r="L450" i="1"/>
  <c r="K450" i="1"/>
  <c r="J450" i="1"/>
  <c r="I450" i="1"/>
  <c r="H450" i="1"/>
  <c r="G450" i="1"/>
  <c r="N449" i="1"/>
  <c r="M449" i="1"/>
  <c r="L449" i="1"/>
  <c r="K449" i="1"/>
  <c r="J449" i="1"/>
  <c r="I449" i="1"/>
  <c r="H449" i="1"/>
  <c r="G449" i="1"/>
  <c r="N448" i="1"/>
  <c r="M448" i="1"/>
  <c r="L448" i="1"/>
  <c r="K448" i="1"/>
  <c r="J448" i="1"/>
  <c r="I448" i="1"/>
  <c r="H448" i="1"/>
  <c r="G448" i="1"/>
  <c r="N447" i="1"/>
  <c r="M447" i="1"/>
  <c r="L447" i="1"/>
  <c r="K447" i="1"/>
  <c r="J447" i="1"/>
  <c r="I447" i="1"/>
  <c r="H447" i="1"/>
  <c r="G447" i="1"/>
  <c r="N446" i="1"/>
  <c r="M446" i="1"/>
  <c r="L446" i="1"/>
  <c r="K446" i="1"/>
  <c r="J446" i="1"/>
  <c r="I446" i="1"/>
  <c r="H446" i="1"/>
  <c r="G446" i="1"/>
  <c r="N445" i="1"/>
  <c r="M445" i="1"/>
  <c r="L445" i="1"/>
  <c r="K445" i="1"/>
  <c r="J445" i="1"/>
  <c r="I445" i="1"/>
  <c r="H445" i="1"/>
  <c r="G445" i="1"/>
  <c r="N444" i="1"/>
  <c r="M444" i="1"/>
  <c r="L444" i="1"/>
  <c r="K444" i="1"/>
  <c r="J444" i="1"/>
  <c r="I444" i="1"/>
  <c r="H444" i="1"/>
  <c r="G444" i="1"/>
  <c r="N443" i="1"/>
  <c r="M443" i="1"/>
  <c r="L443" i="1"/>
  <c r="K443" i="1"/>
  <c r="J443" i="1"/>
  <c r="I443" i="1"/>
  <c r="H443" i="1"/>
  <c r="G443" i="1"/>
  <c r="N442" i="1"/>
  <c r="M442" i="1"/>
  <c r="L442" i="1"/>
  <c r="K442" i="1"/>
  <c r="J442" i="1"/>
  <c r="I442" i="1"/>
  <c r="H442" i="1"/>
  <c r="G442" i="1"/>
  <c r="N441" i="1"/>
  <c r="M441" i="1"/>
  <c r="L441" i="1"/>
  <c r="K441" i="1"/>
  <c r="J441" i="1"/>
  <c r="I441" i="1"/>
  <c r="H441" i="1"/>
  <c r="G441" i="1"/>
  <c r="N440" i="1"/>
  <c r="M440" i="1"/>
  <c r="L440" i="1"/>
  <c r="K440" i="1"/>
  <c r="J440" i="1"/>
  <c r="I440" i="1"/>
  <c r="H440" i="1"/>
  <c r="G440" i="1"/>
  <c r="N439" i="1"/>
  <c r="M439" i="1"/>
  <c r="L439" i="1"/>
  <c r="K439" i="1"/>
  <c r="J439" i="1"/>
  <c r="I439" i="1"/>
  <c r="H439" i="1"/>
  <c r="G439" i="1"/>
  <c r="N438" i="1"/>
  <c r="M438" i="1"/>
  <c r="L438" i="1"/>
  <c r="K438" i="1"/>
  <c r="J438" i="1"/>
  <c r="I438" i="1"/>
  <c r="H438" i="1"/>
  <c r="G438" i="1"/>
  <c r="N437" i="1"/>
  <c r="M437" i="1"/>
  <c r="L437" i="1"/>
  <c r="K437" i="1"/>
  <c r="J437" i="1"/>
  <c r="I437" i="1"/>
  <c r="H437" i="1"/>
  <c r="G437" i="1"/>
  <c r="N436" i="1"/>
  <c r="M436" i="1"/>
  <c r="L436" i="1"/>
  <c r="K436" i="1"/>
  <c r="J436" i="1"/>
  <c r="I436" i="1"/>
  <c r="H436" i="1"/>
  <c r="G436" i="1"/>
  <c r="N435" i="1"/>
  <c r="M435" i="1"/>
  <c r="L435" i="1"/>
  <c r="K435" i="1"/>
  <c r="J435" i="1"/>
  <c r="I435" i="1"/>
  <c r="H435" i="1"/>
  <c r="G435" i="1"/>
  <c r="N434" i="1"/>
  <c r="M434" i="1"/>
  <c r="L434" i="1"/>
  <c r="K434" i="1"/>
  <c r="J434" i="1"/>
  <c r="I434" i="1"/>
  <c r="H434" i="1"/>
  <c r="G434" i="1"/>
  <c r="N433" i="1"/>
  <c r="M433" i="1"/>
  <c r="L433" i="1"/>
  <c r="K433" i="1"/>
  <c r="J433" i="1"/>
  <c r="I433" i="1"/>
  <c r="H433" i="1"/>
  <c r="G433" i="1"/>
  <c r="N432" i="1"/>
  <c r="M432" i="1"/>
  <c r="L432" i="1"/>
  <c r="K432" i="1"/>
  <c r="J432" i="1"/>
  <c r="I432" i="1"/>
  <c r="H432" i="1"/>
  <c r="G432" i="1"/>
  <c r="N431" i="1"/>
  <c r="M431" i="1"/>
  <c r="L431" i="1"/>
  <c r="K431" i="1"/>
  <c r="J431" i="1"/>
  <c r="I431" i="1"/>
  <c r="H431" i="1"/>
  <c r="G431" i="1"/>
  <c r="N430" i="1"/>
  <c r="M430" i="1"/>
  <c r="L430" i="1"/>
  <c r="K430" i="1"/>
  <c r="J430" i="1"/>
  <c r="I430" i="1"/>
  <c r="H430" i="1"/>
  <c r="G430" i="1"/>
  <c r="N429" i="1"/>
  <c r="M429" i="1"/>
  <c r="L429" i="1"/>
  <c r="K429" i="1"/>
  <c r="J429" i="1"/>
  <c r="I429" i="1"/>
  <c r="H429" i="1"/>
  <c r="G429" i="1"/>
  <c r="N428" i="1"/>
  <c r="M428" i="1"/>
  <c r="L428" i="1"/>
  <c r="K428" i="1"/>
  <c r="J428" i="1"/>
  <c r="I428" i="1"/>
  <c r="H428" i="1"/>
  <c r="G428" i="1"/>
  <c r="N427" i="1"/>
  <c r="M427" i="1"/>
  <c r="L427" i="1"/>
  <c r="K427" i="1"/>
  <c r="J427" i="1"/>
  <c r="I427" i="1"/>
  <c r="H427" i="1"/>
  <c r="G427" i="1"/>
  <c r="N426" i="1"/>
  <c r="M426" i="1"/>
  <c r="L426" i="1"/>
  <c r="K426" i="1"/>
  <c r="J426" i="1"/>
  <c r="I426" i="1"/>
  <c r="H426" i="1"/>
  <c r="G426" i="1"/>
  <c r="N425" i="1"/>
  <c r="M425" i="1"/>
  <c r="L425" i="1"/>
  <c r="K425" i="1"/>
  <c r="J425" i="1"/>
  <c r="I425" i="1"/>
  <c r="H425" i="1"/>
  <c r="G425" i="1"/>
  <c r="N424" i="1"/>
  <c r="M424" i="1"/>
  <c r="L424" i="1"/>
  <c r="K424" i="1"/>
  <c r="J424" i="1"/>
  <c r="I424" i="1"/>
  <c r="H424" i="1"/>
  <c r="G424" i="1"/>
  <c r="N423" i="1"/>
  <c r="M423" i="1"/>
  <c r="L423" i="1"/>
  <c r="K423" i="1"/>
  <c r="J423" i="1"/>
  <c r="I423" i="1"/>
  <c r="H423" i="1"/>
  <c r="G423" i="1"/>
  <c r="N422" i="1"/>
  <c r="M422" i="1"/>
  <c r="L422" i="1"/>
  <c r="K422" i="1"/>
  <c r="J422" i="1"/>
  <c r="I422" i="1"/>
  <c r="H422" i="1"/>
  <c r="G422" i="1"/>
  <c r="N421" i="1"/>
  <c r="M421" i="1"/>
  <c r="L421" i="1"/>
  <c r="K421" i="1"/>
  <c r="J421" i="1"/>
  <c r="I421" i="1"/>
  <c r="H421" i="1"/>
  <c r="G421" i="1"/>
  <c r="N420" i="1"/>
  <c r="M420" i="1"/>
  <c r="L420" i="1"/>
  <c r="K420" i="1"/>
  <c r="J420" i="1"/>
  <c r="I420" i="1"/>
  <c r="H420" i="1"/>
  <c r="G420" i="1"/>
  <c r="N419" i="1"/>
  <c r="M419" i="1"/>
  <c r="L419" i="1"/>
  <c r="K419" i="1"/>
  <c r="J419" i="1"/>
  <c r="I419" i="1"/>
  <c r="H419" i="1"/>
  <c r="G419" i="1"/>
  <c r="N418" i="1"/>
  <c r="M418" i="1"/>
  <c r="L418" i="1"/>
  <c r="K418" i="1"/>
  <c r="J418" i="1"/>
  <c r="I418" i="1"/>
  <c r="H418" i="1"/>
  <c r="G418" i="1"/>
  <c r="N417" i="1"/>
  <c r="M417" i="1"/>
  <c r="L417" i="1"/>
  <c r="K417" i="1"/>
  <c r="J417" i="1"/>
  <c r="I417" i="1"/>
  <c r="H417" i="1"/>
  <c r="G417" i="1"/>
  <c r="N416" i="1"/>
  <c r="M416" i="1"/>
  <c r="L416" i="1"/>
  <c r="K416" i="1"/>
  <c r="J416" i="1"/>
  <c r="I416" i="1"/>
  <c r="H416" i="1"/>
  <c r="G416" i="1"/>
  <c r="N415" i="1"/>
  <c r="M415" i="1"/>
  <c r="L415" i="1"/>
  <c r="K415" i="1"/>
  <c r="J415" i="1"/>
  <c r="I415" i="1"/>
  <c r="H415" i="1"/>
  <c r="G415" i="1"/>
  <c r="N414" i="1"/>
  <c r="M414" i="1"/>
  <c r="L414" i="1"/>
  <c r="K414" i="1"/>
  <c r="J414" i="1"/>
  <c r="I414" i="1"/>
  <c r="H414" i="1"/>
  <c r="G414" i="1"/>
  <c r="N413" i="1"/>
  <c r="M413" i="1"/>
  <c r="L413" i="1"/>
  <c r="K413" i="1"/>
  <c r="J413" i="1"/>
  <c r="I413" i="1"/>
  <c r="H413" i="1"/>
  <c r="G413" i="1"/>
  <c r="N412" i="1"/>
  <c r="M412" i="1"/>
  <c r="L412" i="1"/>
  <c r="K412" i="1"/>
  <c r="J412" i="1"/>
  <c r="I412" i="1"/>
  <c r="H412" i="1"/>
  <c r="G412" i="1"/>
  <c r="N411" i="1"/>
  <c r="M411" i="1"/>
  <c r="L411" i="1"/>
  <c r="K411" i="1"/>
  <c r="J411" i="1"/>
  <c r="I411" i="1"/>
  <c r="H411" i="1"/>
  <c r="G411" i="1"/>
  <c r="N410" i="1"/>
  <c r="M410" i="1"/>
  <c r="L410" i="1"/>
  <c r="K410" i="1"/>
  <c r="J410" i="1"/>
  <c r="I410" i="1"/>
  <c r="H410" i="1"/>
  <c r="G410" i="1"/>
  <c r="N409" i="1"/>
  <c r="M409" i="1"/>
  <c r="L409" i="1"/>
  <c r="K409" i="1"/>
  <c r="J409" i="1"/>
  <c r="I409" i="1"/>
  <c r="H409" i="1"/>
  <c r="G409" i="1"/>
  <c r="N408" i="1"/>
  <c r="M408" i="1"/>
  <c r="L408" i="1"/>
  <c r="K408" i="1"/>
  <c r="J408" i="1"/>
  <c r="I408" i="1"/>
  <c r="H408" i="1"/>
  <c r="G408" i="1"/>
  <c r="N407" i="1"/>
  <c r="M407" i="1"/>
  <c r="L407" i="1"/>
  <c r="K407" i="1"/>
  <c r="J407" i="1"/>
  <c r="I407" i="1"/>
  <c r="H407" i="1"/>
  <c r="G407" i="1"/>
  <c r="N406" i="1"/>
  <c r="M406" i="1"/>
  <c r="L406" i="1"/>
  <c r="K406" i="1"/>
  <c r="J406" i="1"/>
  <c r="I406" i="1"/>
  <c r="H406" i="1"/>
  <c r="G406" i="1"/>
  <c r="N405" i="1"/>
  <c r="M405" i="1"/>
  <c r="L405" i="1"/>
  <c r="K405" i="1"/>
  <c r="J405" i="1"/>
  <c r="I405" i="1"/>
  <c r="H405" i="1"/>
  <c r="G405" i="1"/>
  <c r="N404" i="1"/>
  <c r="M404" i="1"/>
  <c r="L404" i="1"/>
  <c r="K404" i="1"/>
  <c r="J404" i="1"/>
  <c r="I404" i="1"/>
  <c r="H404" i="1"/>
  <c r="G404" i="1"/>
  <c r="N403" i="1"/>
  <c r="M403" i="1"/>
  <c r="L403" i="1"/>
  <c r="K403" i="1"/>
  <c r="J403" i="1"/>
  <c r="I403" i="1"/>
  <c r="H403" i="1"/>
  <c r="G403" i="1"/>
  <c r="N402" i="1"/>
  <c r="M402" i="1"/>
  <c r="L402" i="1"/>
  <c r="K402" i="1"/>
  <c r="J402" i="1"/>
  <c r="I402" i="1"/>
  <c r="H402" i="1"/>
  <c r="G402" i="1"/>
  <c r="N401" i="1"/>
  <c r="M401" i="1"/>
  <c r="L401" i="1"/>
  <c r="K401" i="1"/>
  <c r="J401" i="1"/>
  <c r="I401" i="1"/>
  <c r="H401" i="1"/>
  <c r="G401" i="1"/>
  <c r="N400" i="1"/>
  <c r="M400" i="1"/>
  <c r="L400" i="1"/>
  <c r="K400" i="1"/>
  <c r="J400" i="1"/>
  <c r="I400" i="1"/>
  <c r="H400" i="1"/>
  <c r="G400" i="1"/>
  <c r="N399" i="1"/>
  <c r="M399" i="1"/>
  <c r="L399" i="1"/>
  <c r="K399" i="1"/>
  <c r="J399" i="1"/>
  <c r="I399" i="1"/>
  <c r="H399" i="1"/>
  <c r="G399" i="1"/>
  <c r="N398" i="1"/>
  <c r="M398" i="1"/>
  <c r="L398" i="1"/>
  <c r="K398" i="1"/>
  <c r="J398" i="1"/>
  <c r="I398" i="1"/>
  <c r="H398" i="1"/>
  <c r="G398" i="1"/>
  <c r="N397" i="1"/>
  <c r="M397" i="1"/>
  <c r="L397" i="1"/>
  <c r="K397" i="1"/>
  <c r="J397" i="1"/>
  <c r="I397" i="1"/>
  <c r="H397" i="1"/>
  <c r="G397" i="1"/>
  <c r="N396" i="1"/>
  <c r="M396" i="1"/>
  <c r="L396" i="1"/>
  <c r="K396" i="1"/>
  <c r="J396" i="1"/>
  <c r="I396" i="1"/>
  <c r="H396" i="1"/>
  <c r="G396" i="1"/>
  <c r="N395" i="1"/>
  <c r="M395" i="1"/>
  <c r="L395" i="1"/>
  <c r="K395" i="1"/>
  <c r="J395" i="1"/>
  <c r="I395" i="1"/>
  <c r="H395" i="1"/>
  <c r="G395" i="1"/>
  <c r="N394" i="1"/>
  <c r="M394" i="1"/>
  <c r="L394" i="1"/>
  <c r="K394" i="1"/>
  <c r="J394" i="1"/>
  <c r="I394" i="1"/>
  <c r="H394" i="1"/>
  <c r="G394" i="1"/>
  <c r="N393" i="1"/>
  <c r="M393" i="1"/>
  <c r="L393" i="1"/>
  <c r="K393" i="1"/>
  <c r="J393" i="1"/>
  <c r="I393" i="1"/>
  <c r="H393" i="1"/>
  <c r="G393" i="1"/>
  <c r="N392" i="1"/>
  <c r="M392" i="1"/>
  <c r="L392" i="1"/>
  <c r="K392" i="1"/>
  <c r="J392" i="1"/>
  <c r="I392" i="1"/>
  <c r="H392" i="1"/>
  <c r="G392" i="1"/>
  <c r="N391" i="1"/>
  <c r="M391" i="1"/>
  <c r="L391" i="1"/>
  <c r="K391" i="1"/>
  <c r="J391" i="1"/>
  <c r="I391" i="1"/>
  <c r="H391" i="1"/>
  <c r="G391" i="1"/>
  <c r="N390" i="1"/>
  <c r="M390" i="1"/>
  <c r="L390" i="1"/>
  <c r="K390" i="1"/>
  <c r="J390" i="1"/>
  <c r="I390" i="1"/>
  <c r="H390" i="1"/>
  <c r="G390" i="1"/>
  <c r="N389" i="1"/>
  <c r="M389" i="1"/>
  <c r="L389" i="1"/>
  <c r="K389" i="1"/>
  <c r="J389" i="1"/>
  <c r="I389" i="1"/>
  <c r="H389" i="1"/>
  <c r="G389" i="1"/>
  <c r="N388" i="1"/>
  <c r="M388" i="1"/>
  <c r="L388" i="1"/>
  <c r="K388" i="1"/>
  <c r="J388" i="1"/>
  <c r="I388" i="1"/>
  <c r="H388" i="1"/>
  <c r="G388" i="1"/>
  <c r="N387" i="1"/>
  <c r="M387" i="1"/>
  <c r="L387" i="1"/>
  <c r="K387" i="1"/>
  <c r="J387" i="1"/>
  <c r="I387" i="1"/>
  <c r="H387" i="1"/>
  <c r="G387" i="1"/>
  <c r="N386" i="1"/>
  <c r="M386" i="1"/>
  <c r="L386" i="1"/>
  <c r="K386" i="1"/>
  <c r="J386" i="1"/>
  <c r="I386" i="1"/>
  <c r="H386" i="1"/>
  <c r="G386" i="1"/>
  <c r="N385" i="1"/>
  <c r="M385" i="1"/>
  <c r="L385" i="1"/>
  <c r="K385" i="1"/>
  <c r="J385" i="1"/>
  <c r="I385" i="1"/>
  <c r="H385" i="1"/>
  <c r="G385" i="1"/>
  <c r="N384" i="1"/>
  <c r="M384" i="1"/>
  <c r="L384" i="1"/>
  <c r="K384" i="1"/>
  <c r="J384" i="1"/>
  <c r="I384" i="1"/>
  <c r="H384" i="1"/>
  <c r="G384" i="1"/>
  <c r="N383" i="1"/>
  <c r="M383" i="1"/>
  <c r="L383" i="1"/>
  <c r="K383" i="1"/>
  <c r="J383" i="1"/>
  <c r="I383" i="1"/>
  <c r="H383" i="1"/>
  <c r="G383" i="1"/>
  <c r="N382" i="1"/>
  <c r="M382" i="1"/>
  <c r="L382" i="1"/>
  <c r="K382" i="1"/>
  <c r="J382" i="1"/>
  <c r="I382" i="1"/>
  <c r="H382" i="1"/>
  <c r="G382" i="1"/>
  <c r="N381" i="1"/>
  <c r="M381" i="1"/>
  <c r="L381" i="1"/>
  <c r="K381" i="1"/>
  <c r="J381" i="1"/>
  <c r="I381" i="1"/>
  <c r="H381" i="1"/>
  <c r="G381" i="1"/>
  <c r="N380" i="1"/>
  <c r="M380" i="1"/>
  <c r="L380" i="1"/>
  <c r="K380" i="1"/>
  <c r="J380" i="1"/>
  <c r="I380" i="1"/>
  <c r="H380" i="1"/>
  <c r="G380" i="1"/>
  <c r="N379" i="1"/>
  <c r="M379" i="1"/>
  <c r="L379" i="1"/>
  <c r="K379" i="1"/>
  <c r="J379" i="1"/>
  <c r="I379" i="1"/>
  <c r="H379" i="1"/>
  <c r="G379" i="1"/>
  <c r="N378" i="1"/>
  <c r="M378" i="1"/>
  <c r="L378" i="1"/>
  <c r="K378" i="1"/>
  <c r="J378" i="1"/>
  <c r="I378" i="1"/>
  <c r="H378" i="1"/>
  <c r="G378" i="1"/>
  <c r="N377" i="1"/>
  <c r="M377" i="1"/>
  <c r="L377" i="1"/>
  <c r="K377" i="1"/>
  <c r="J377" i="1"/>
  <c r="I377" i="1"/>
  <c r="H377" i="1"/>
  <c r="G377" i="1"/>
  <c r="N376" i="1"/>
  <c r="M376" i="1"/>
  <c r="L376" i="1"/>
  <c r="K376" i="1"/>
  <c r="J376" i="1"/>
  <c r="I376" i="1"/>
  <c r="H376" i="1"/>
  <c r="G376" i="1"/>
  <c r="N375" i="1"/>
  <c r="M375" i="1"/>
  <c r="L375" i="1"/>
  <c r="K375" i="1"/>
  <c r="J375" i="1"/>
  <c r="I375" i="1"/>
  <c r="H375" i="1"/>
  <c r="G375" i="1"/>
  <c r="N374" i="1"/>
  <c r="M374" i="1"/>
  <c r="L374" i="1"/>
  <c r="K374" i="1"/>
  <c r="J374" i="1"/>
  <c r="I374" i="1"/>
  <c r="H374" i="1"/>
  <c r="G374" i="1"/>
  <c r="N373" i="1"/>
  <c r="M373" i="1"/>
  <c r="L373" i="1"/>
  <c r="K373" i="1"/>
  <c r="J373" i="1"/>
  <c r="I373" i="1"/>
  <c r="H373" i="1"/>
  <c r="G373" i="1"/>
  <c r="N372" i="1"/>
  <c r="M372" i="1"/>
  <c r="L372" i="1"/>
  <c r="K372" i="1"/>
  <c r="J372" i="1"/>
  <c r="I372" i="1"/>
  <c r="H372" i="1"/>
  <c r="G372" i="1"/>
  <c r="N371" i="1"/>
  <c r="M371" i="1"/>
  <c r="L371" i="1"/>
  <c r="K371" i="1"/>
  <c r="J371" i="1"/>
  <c r="I371" i="1"/>
  <c r="H371" i="1"/>
  <c r="G371" i="1"/>
  <c r="N370" i="1"/>
  <c r="M370" i="1"/>
  <c r="L370" i="1"/>
  <c r="K370" i="1"/>
  <c r="J370" i="1"/>
  <c r="I370" i="1"/>
  <c r="H370" i="1"/>
  <c r="G370" i="1"/>
  <c r="N369" i="1"/>
  <c r="M369" i="1"/>
  <c r="L369" i="1"/>
  <c r="K369" i="1"/>
  <c r="J369" i="1"/>
  <c r="I369" i="1"/>
  <c r="H369" i="1"/>
  <c r="G369" i="1"/>
  <c r="N368" i="1"/>
  <c r="M368" i="1"/>
  <c r="L368" i="1"/>
  <c r="K368" i="1"/>
  <c r="J368" i="1"/>
  <c r="I368" i="1"/>
  <c r="H368" i="1"/>
  <c r="G368" i="1"/>
  <c r="N367" i="1"/>
  <c r="M367" i="1"/>
  <c r="L367" i="1"/>
  <c r="K367" i="1"/>
  <c r="J367" i="1"/>
  <c r="I367" i="1"/>
  <c r="H367" i="1"/>
  <c r="G367" i="1"/>
  <c r="N366" i="1"/>
  <c r="M366" i="1"/>
  <c r="L366" i="1"/>
  <c r="K366" i="1"/>
  <c r="J366" i="1"/>
  <c r="I366" i="1"/>
  <c r="H366" i="1"/>
  <c r="G366" i="1"/>
  <c r="N365" i="1"/>
  <c r="M365" i="1"/>
  <c r="L365" i="1"/>
  <c r="K365" i="1"/>
  <c r="J365" i="1"/>
  <c r="I365" i="1"/>
  <c r="H365" i="1"/>
  <c r="G365" i="1"/>
  <c r="N364" i="1"/>
  <c r="M364" i="1"/>
  <c r="L364" i="1"/>
  <c r="K364" i="1"/>
  <c r="J364" i="1"/>
  <c r="I364" i="1"/>
  <c r="H364" i="1"/>
  <c r="G364" i="1"/>
  <c r="N363" i="1"/>
  <c r="M363" i="1"/>
  <c r="L363" i="1"/>
  <c r="K363" i="1"/>
  <c r="J363" i="1"/>
  <c r="I363" i="1"/>
  <c r="H363" i="1"/>
  <c r="G363" i="1"/>
  <c r="N362" i="1"/>
  <c r="M362" i="1"/>
  <c r="L362" i="1"/>
  <c r="K362" i="1"/>
  <c r="J362" i="1"/>
  <c r="I362" i="1"/>
  <c r="H362" i="1"/>
  <c r="G362" i="1"/>
  <c r="N361" i="1"/>
  <c r="M361" i="1"/>
  <c r="L361" i="1"/>
  <c r="K361" i="1"/>
  <c r="J361" i="1"/>
  <c r="I361" i="1"/>
  <c r="H361" i="1"/>
  <c r="G361" i="1"/>
  <c r="N360" i="1"/>
  <c r="M360" i="1"/>
  <c r="L360" i="1"/>
  <c r="K360" i="1"/>
  <c r="J360" i="1"/>
  <c r="I360" i="1"/>
  <c r="H360" i="1"/>
  <c r="G360" i="1"/>
  <c r="N359" i="1"/>
  <c r="M359" i="1"/>
  <c r="L359" i="1"/>
  <c r="K359" i="1"/>
  <c r="J359" i="1"/>
  <c r="I359" i="1"/>
  <c r="H359" i="1"/>
  <c r="G359" i="1"/>
  <c r="N358" i="1"/>
  <c r="M358" i="1"/>
  <c r="L358" i="1"/>
  <c r="K358" i="1"/>
  <c r="J358" i="1"/>
  <c r="I358" i="1"/>
  <c r="H358" i="1"/>
  <c r="G358" i="1"/>
  <c r="N357" i="1"/>
  <c r="M357" i="1"/>
  <c r="L357" i="1"/>
  <c r="K357" i="1"/>
  <c r="J357" i="1"/>
  <c r="I357" i="1"/>
  <c r="H357" i="1"/>
  <c r="G357" i="1"/>
  <c r="N356" i="1"/>
  <c r="M356" i="1"/>
  <c r="L356" i="1"/>
  <c r="K356" i="1"/>
  <c r="J356" i="1"/>
  <c r="I356" i="1"/>
  <c r="H356" i="1"/>
  <c r="G356" i="1"/>
  <c r="N355" i="1"/>
  <c r="M355" i="1"/>
  <c r="L355" i="1"/>
  <c r="K355" i="1"/>
  <c r="J355" i="1"/>
  <c r="I355" i="1"/>
  <c r="H355" i="1"/>
  <c r="G355" i="1"/>
  <c r="N354" i="1"/>
  <c r="M354" i="1"/>
  <c r="L354" i="1"/>
  <c r="K354" i="1"/>
  <c r="J354" i="1"/>
  <c r="I354" i="1"/>
  <c r="H354" i="1"/>
  <c r="G354" i="1"/>
  <c r="N353" i="1"/>
  <c r="M353" i="1"/>
  <c r="L353" i="1"/>
  <c r="K353" i="1"/>
  <c r="J353" i="1"/>
  <c r="I353" i="1"/>
  <c r="H353" i="1"/>
  <c r="G353" i="1"/>
  <c r="N352" i="1"/>
  <c r="M352" i="1"/>
  <c r="L352" i="1"/>
  <c r="K352" i="1"/>
  <c r="J352" i="1"/>
  <c r="I352" i="1"/>
  <c r="H352" i="1"/>
  <c r="G352" i="1"/>
  <c r="N351" i="1"/>
  <c r="M351" i="1"/>
  <c r="L351" i="1"/>
  <c r="K351" i="1"/>
  <c r="J351" i="1"/>
  <c r="I351" i="1"/>
  <c r="H351" i="1"/>
  <c r="G351" i="1"/>
  <c r="N350" i="1"/>
  <c r="M350" i="1"/>
  <c r="L350" i="1"/>
  <c r="K350" i="1"/>
  <c r="J350" i="1"/>
  <c r="I350" i="1"/>
  <c r="H350" i="1"/>
  <c r="G350" i="1"/>
  <c r="N349" i="1"/>
  <c r="M349" i="1"/>
  <c r="L349" i="1"/>
  <c r="K349" i="1"/>
  <c r="J349" i="1"/>
  <c r="I349" i="1"/>
  <c r="H349" i="1"/>
  <c r="G349" i="1"/>
  <c r="N348" i="1"/>
  <c r="M348" i="1"/>
  <c r="L348" i="1"/>
  <c r="K348" i="1"/>
  <c r="J348" i="1"/>
  <c r="I348" i="1"/>
  <c r="H348" i="1"/>
  <c r="G348" i="1"/>
  <c r="N347" i="1"/>
  <c r="M347" i="1"/>
  <c r="L347" i="1"/>
  <c r="K347" i="1"/>
  <c r="J347" i="1"/>
  <c r="I347" i="1"/>
  <c r="H347" i="1"/>
  <c r="G347" i="1"/>
  <c r="N346" i="1"/>
  <c r="M346" i="1"/>
  <c r="L346" i="1"/>
  <c r="K346" i="1"/>
  <c r="J346" i="1"/>
  <c r="I346" i="1"/>
  <c r="H346" i="1"/>
  <c r="G346" i="1"/>
  <c r="N345" i="1"/>
  <c r="M345" i="1"/>
  <c r="L345" i="1"/>
  <c r="K345" i="1"/>
  <c r="J345" i="1"/>
  <c r="I345" i="1"/>
  <c r="H345" i="1"/>
  <c r="G345" i="1"/>
  <c r="N344" i="1"/>
  <c r="M344" i="1"/>
  <c r="L344" i="1"/>
  <c r="K344" i="1"/>
  <c r="J344" i="1"/>
  <c r="I344" i="1"/>
  <c r="H344" i="1"/>
  <c r="G344" i="1"/>
  <c r="N343" i="1"/>
  <c r="M343" i="1"/>
  <c r="L343" i="1"/>
  <c r="K343" i="1"/>
  <c r="J343" i="1"/>
  <c r="I343" i="1"/>
  <c r="H343" i="1"/>
  <c r="G343" i="1"/>
  <c r="N342" i="1"/>
  <c r="M342" i="1"/>
  <c r="L342" i="1"/>
  <c r="K342" i="1"/>
  <c r="J342" i="1"/>
  <c r="I342" i="1"/>
  <c r="H342" i="1"/>
  <c r="G342" i="1"/>
  <c r="N341" i="1"/>
  <c r="M341" i="1"/>
  <c r="L341" i="1"/>
  <c r="K341" i="1"/>
  <c r="J341" i="1"/>
  <c r="I341" i="1"/>
  <c r="H341" i="1"/>
  <c r="G341" i="1"/>
  <c r="N340" i="1"/>
  <c r="M340" i="1"/>
  <c r="L340" i="1"/>
  <c r="K340" i="1"/>
  <c r="J340" i="1"/>
  <c r="I340" i="1"/>
  <c r="H340" i="1"/>
  <c r="G340" i="1"/>
  <c r="N339" i="1"/>
  <c r="M339" i="1"/>
  <c r="L339" i="1"/>
  <c r="K339" i="1"/>
  <c r="J339" i="1"/>
  <c r="I339" i="1"/>
  <c r="H339" i="1"/>
  <c r="G339" i="1"/>
  <c r="N338" i="1"/>
  <c r="M338" i="1"/>
  <c r="L338" i="1"/>
  <c r="K338" i="1"/>
  <c r="J338" i="1"/>
  <c r="I338" i="1"/>
  <c r="H338" i="1"/>
  <c r="G338" i="1"/>
  <c r="N337" i="1"/>
  <c r="M337" i="1"/>
  <c r="L337" i="1"/>
  <c r="K337" i="1"/>
  <c r="J337" i="1"/>
  <c r="I337" i="1"/>
  <c r="H337" i="1"/>
  <c r="G337" i="1"/>
  <c r="N336" i="1"/>
  <c r="M336" i="1"/>
  <c r="L336" i="1"/>
  <c r="K336" i="1"/>
  <c r="J336" i="1"/>
  <c r="I336" i="1"/>
  <c r="H336" i="1"/>
  <c r="G336" i="1"/>
  <c r="N335" i="1"/>
  <c r="M335" i="1"/>
  <c r="L335" i="1"/>
  <c r="K335" i="1"/>
  <c r="J335" i="1"/>
  <c r="I335" i="1"/>
  <c r="H335" i="1"/>
  <c r="G335" i="1"/>
  <c r="N334" i="1"/>
  <c r="M334" i="1"/>
  <c r="L334" i="1"/>
  <c r="K334" i="1"/>
  <c r="J334" i="1"/>
  <c r="I334" i="1"/>
  <c r="H334" i="1"/>
  <c r="G334" i="1"/>
  <c r="N333" i="1"/>
  <c r="M333" i="1"/>
  <c r="L333" i="1"/>
  <c r="K333" i="1"/>
  <c r="J333" i="1"/>
  <c r="I333" i="1"/>
  <c r="H333" i="1"/>
  <c r="G333" i="1"/>
  <c r="N332" i="1"/>
  <c r="M332" i="1"/>
  <c r="L332" i="1"/>
  <c r="K332" i="1"/>
  <c r="J332" i="1"/>
  <c r="I332" i="1"/>
  <c r="H332" i="1"/>
  <c r="G332" i="1"/>
  <c r="N331" i="1"/>
  <c r="M331" i="1"/>
  <c r="L331" i="1"/>
  <c r="K331" i="1"/>
  <c r="J331" i="1"/>
  <c r="I331" i="1"/>
  <c r="H331" i="1"/>
  <c r="G331" i="1"/>
  <c r="N330" i="1"/>
  <c r="M330" i="1"/>
  <c r="L330" i="1"/>
  <c r="K330" i="1"/>
  <c r="J330" i="1"/>
  <c r="I330" i="1"/>
  <c r="H330" i="1"/>
  <c r="G330" i="1"/>
  <c r="N329" i="1"/>
  <c r="M329" i="1"/>
  <c r="L329" i="1"/>
  <c r="K329" i="1"/>
  <c r="J329" i="1"/>
  <c r="I329" i="1"/>
  <c r="H329" i="1"/>
  <c r="G329" i="1"/>
  <c r="N328" i="1"/>
  <c r="M328" i="1"/>
  <c r="L328" i="1"/>
  <c r="K328" i="1"/>
  <c r="J328" i="1"/>
  <c r="I328" i="1"/>
  <c r="H328" i="1"/>
  <c r="G328" i="1"/>
  <c r="N327" i="1"/>
  <c r="M327" i="1"/>
  <c r="L327" i="1"/>
  <c r="K327" i="1"/>
  <c r="J327" i="1"/>
  <c r="I327" i="1"/>
  <c r="H327" i="1"/>
  <c r="G327" i="1"/>
  <c r="N326" i="1"/>
  <c r="M326" i="1"/>
  <c r="L326" i="1"/>
  <c r="K326" i="1"/>
  <c r="J326" i="1"/>
  <c r="I326" i="1"/>
  <c r="H326" i="1"/>
  <c r="G326" i="1"/>
  <c r="N325" i="1"/>
  <c r="M325" i="1"/>
  <c r="L325" i="1"/>
  <c r="K325" i="1"/>
  <c r="J325" i="1"/>
  <c r="I325" i="1"/>
  <c r="H325" i="1"/>
  <c r="G325" i="1"/>
  <c r="N324" i="1"/>
  <c r="M324" i="1"/>
  <c r="L324" i="1"/>
  <c r="K324" i="1"/>
  <c r="J324" i="1"/>
  <c r="I324" i="1"/>
  <c r="H324" i="1"/>
  <c r="G324" i="1"/>
  <c r="N323" i="1"/>
  <c r="M323" i="1"/>
  <c r="L323" i="1"/>
  <c r="K323" i="1"/>
  <c r="J323" i="1"/>
  <c r="I323" i="1"/>
  <c r="H323" i="1"/>
  <c r="G323" i="1"/>
  <c r="N322" i="1"/>
  <c r="M322" i="1"/>
  <c r="L322" i="1"/>
  <c r="K322" i="1"/>
  <c r="J322" i="1"/>
  <c r="I322" i="1"/>
  <c r="H322" i="1"/>
  <c r="G322" i="1"/>
  <c r="N321" i="1"/>
  <c r="M321" i="1"/>
  <c r="L321" i="1"/>
  <c r="K321" i="1"/>
  <c r="J321" i="1"/>
  <c r="I321" i="1"/>
  <c r="H321" i="1"/>
  <c r="G321" i="1"/>
  <c r="N320" i="1"/>
  <c r="M320" i="1"/>
  <c r="L320" i="1"/>
  <c r="K320" i="1"/>
  <c r="J320" i="1"/>
  <c r="I320" i="1"/>
  <c r="H320" i="1"/>
  <c r="G320" i="1"/>
  <c r="N319" i="1"/>
  <c r="M319" i="1"/>
  <c r="L319" i="1"/>
  <c r="K319" i="1"/>
  <c r="J319" i="1"/>
  <c r="I319" i="1"/>
  <c r="H319" i="1"/>
  <c r="G319" i="1"/>
  <c r="N318" i="1"/>
  <c r="M318" i="1"/>
  <c r="L318" i="1"/>
  <c r="K318" i="1"/>
  <c r="J318" i="1"/>
  <c r="I318" i="1"/>
  <c r="H318" i="1"/>
  <c r="G318" i="1"/>
  <c r="N317" i="1"/>
  <c r="M317" i="1"/>
  <c r="L317" i="1"/>
  <c r="K317" i="1"/>
  <c r="J317" i="1"/>
  <c r="I317" i="1"/>
  <c r="H317" i="1"/>
  <c r="G317" i="1"/>
  <c r="N316" i="1"/>
  <c r="M316" i="1"/>
  <c r="L316" i="1"/>
  <c r="K316" i="1"/>
  <c r="J316" i="1"/>
  <c r="I316" i="1"/>
  <c r="H316" i="1"/>
  <c r="G316" i="1"/>
  <c r="N315" i="1"/>
  <c r="M315" i="1"/>
  <c r="L315" i="1"/>
  <c r="K315" i="1"/>
  <c r="J315" i="1"/>
  <c r="I315" i="1"/>
  <c r="H315" i="1"/>
  <c r="G315" i="1"/>
  <c r="N314" i="1"/>
  <c r="M314" i="1"/>
  <c r="L314" i="1"/>
  <c r="K314" i="1"/>
  <c r="J314" i="1"/>
  <c r="I314" i="1"/>
  <c r="H314" i="1"/>
  <c r="G314" i="1"/>
  <c r="N313" i="1"/>
  <c r="M313" i="1"/>
  <c r="L313" i="1"/>
  <c r="K313" i="1"/>
  <c r="J313" i="1"/>
  <c r="I313" i="1"/>
  <c r="H313" i="1"/>
  <c r="G313" i="1"/>
  <c r="N312" i="1"/>
  <c r="M312" i="1"/>
  <c r="L312" i="1"/>
  <c r="K312" i="1"/>
  <c r="J312" i="1"/>
  <c r="I312" i="1"/>
  <c r="H312" i="1"/>
  <c r="G312" i="1"/>
  <c r="N311" i="1"/>
  <c r="M311" i="1"/>
  <c r="L311" i="1"/>
  <c r="K311" i="1"/>
  <c r="J311" i="1"/>
  <c r="I311" i="1"/>
  <c r="H311" i="1"/>
  <c r="G311" i="1"/>
  <c r="N310" i="1"/>
  <c r="M310" i="1"/>
  <c r="L310" i="1"/>
  <c r="K310" i="1"/>
  <c r="J310" i="1"/>
  <c r="I310" i="1"/>
  <c r="H310" i="1"/>
  <c r="G310" i="1"/>
  <c r="N309" i="1"/>
  <c r="M309" i="1"/>
  <c r="L309" i="1"/>
  <c r="K309" i="1"/>
  <c r="J309" i="1"/>
  <c r="I309" i="1"/>
  <c r="H309" i="1"/>
  <c r="G309" i="1"/>
  <c r="N308" i="1"/>
  <c r="M308" i="1"/>
  <c r="L308" i="1"/>
  <c r="K308" i="1"/>
  <c r="J308" i="1"/>
  <c r="I308" i="1"/>
  <c r="H308" i="1"/>
  <c r="G308" i="1"/>
  <c r="N307" i="1"/>
  <c r="M307" i="1"/>
  <c r="L307" i="1"/>
  <c r="K307" i="1"/>
  <c r="J307" i="1"/>
  <c r="I307" i="1"/>
  <c r="H307" i="1"/>
  <c r="G307" i="1"/>
  <c r="N306" i="1"/>
  <c r="M306" i="1"/>
  <c r="L306" i="1"/>
  <c r="K306" i="1"/>
  <c r="J306" i="1"/>
  <c r="I306" i="1"/>
  <c r="H306" i="1"/>
  <c r="G306" i="1"/>
  <c r="N305" i="1"/>
  <c r="M305" i="1"/>
  <c r="L305" i="1"/>
  <c r="K305" i="1"/>
  <c r="J305" i="1"/>
  <c r="I305" i="1"/>
  <c r="H305" i="1"/>
  <c r="G305" i="1"/>
  <c r="N304" i="1"/>
  <c r="M304" i="1"/>
  <c r="L304" i="1"/>
  <c r="K304" i="1"/>
  <c r="J304" i="1"/>
  <c r="I304" i="1"/>
  <c r="H304" i="1"/>
  <c r="G304" i="1"/>
  <c r="N303" i="1"/>
  <c r="M303" i="1"/>
  <c r="L303" i="1"/>
  <c r="K303" i="1"/>
  <c r="J303" i="1"/>
  <c r="I303" i="1"/>
  <c r="H303" i="1"/>
  <c r="G303" i="1"/>
  <c r="N302" i="1"/>
  <c r="M302" i="1"/>
  <c r="L302" i="1"/>
  <c r="K302" i="1"/>
  <c r="J302" i="1"/>
  <c r="I302" i="1"/>
  <c r="H302" i="1"/>
  <c r="G302" i="1"/>
  <c r="N301" i="1"/>
  <c r="M301" i="1"/>
  <c r="L301" i="1"/>
  <c r="K301" i="1"/>
  <c r="J301" i="1"/>
  <c r="I301" i="1"/>
  <c r="H301" i="1"/>
  <c r="G301" i="1"/>
  <c r="N300" i="1"/>
  <c r="M300" i="1"/>
  <c r="L300" i="1"/>
  <c r="K300" i="1"/>
  <c r="J300" i="1"/>
  <c r="I300" i="1"/>
  <c r="H300" i="1"/>
  <c r="G300" i="1"/>
  <c r="N299" i="1"/>
  <c r="M299" i="1"/>
  <c r="L299" i="1"/>
  <c r="K299" i="1"/>
  <c r="J299" i="1"/>
  <c r="I299" i="1"/>
  <c r="H299" i="1"/>
  <c r="G299" i="1"/>
  <c r="N298" i="1"/>
  <c r="M298" i="1"/>
  <c r="L298" i="1"/>
  <c r="K298" i="1"/>
  <c r="J298" i="1"/>
  <c r="I298" i="1"/>
  <c r="H298" i="1"/>
  <c r="G298" i="1"/>
  <c r="N297" i="1"/>
  <c r="M297" i="1"/>
  <c r="L297" i="1"/>
  <c r="K297" i="1"/>
  <c r="J297" i="1"/>
  <c r="I297" i="1"/>
  <c r="H297" i="1"/>
  <c r="G297" i="1"/>
  <c r="N296" i="1"/>
  <c r="M296" i="1"/>
  <c r="L296" i="1"/>
  <c r="K296" i="1"/>
  <c r="J296" i="1"/>
  <c r="I296" i="1"/>
  <c r="H296" i="1"/>
  <c r="G296" i="1"/>
  <c r="N295" i="1"/>
  <c r="M295" i="1"/>
  <c r="L295" i="1"/>
  <c r="K295" i="1"/>
  <c r="J295" i="1"/>
  <c r="I295" i="1"/>
  <c r="H295" i="1"/>
  <c r="G295" i="1"/>
  <c r="N294" i="1"/>
  <c r="M294" i="1"/>
  <c r="L294" i="1"/>
  <c r="K294" i="1"/>
  <c r="J294" i="1"/>
  <c r="I294" i="1"/>
  <c r="H294" i="1"/>
  <c r="G294" i="1"/>
  <c r="N293" i="1"/>
  <c r="M293" i="1"/>
  <c r="L293" i="1"/>
  <c r="K293" i="1"/>
  <c r="J293" i="1"/>
  <c r="I293" i="1"/>
  <c r="H293" i="1"/>
  <c r="G293" i="1"/>
  <c r="N292" i="1"/>
  <c r="M292" i="1"/>
  <c r="L292" i="1"/>
  <c r="K292" i="1"/>
  <c r="J292" i="1"/>
  <c r="I292" i="1"/>
  <c r="H292" i="1"/>
  <c r="G292" i="1"/>
  <c r="N291" i="1"/>
  <c r="M291" i="1"/>
  <c r="L291" i="1"/>
  <c r="K291" i="1"/>
  <c r="J291" i="1"/>
  <c r="I291" i="1"/>
  <c r="H291" i="1"/>
  <c r="G291" i="1"/>
  <c r="N290" i="1"/>
  <c r="M290" i="1"/>
  <c r="L290" i="1"/>
  <c r="K290" i="1"/>
  <c r="J290" i="1"/>
  <c r="I290" i="1"/>
  <c r="H290" i="1"/>
  <c r="G290" i="1"/>
  <c r="N289" i="1"/>
  <c r="M289" i="1"/>
  <c r="L289" i="1"/>
  <c r="K289" i="1"/>
  <c r="J289" i="1"/>
  <c r="I289" i="1"/>
  <c r="H289" i="1"/>
  <c r="G289" i="1"/>
  <c r="N288" i="1"/>
  <c r="M288" i="1"/>
  <c r="L288" i="1"/>
  <c r="K288" i="1"/>
  <c r="J288" i="1"/>
  <c r="I288" i="1"/>
  <c r="H288" i="1"/>
  <c r="G288" i="1"/>
  <c r="N287" i="1"/>
  <c r="M287" i="1"/>
  <c r="L287" i="1"/>
  <c r="K287" i="1"/>
  <c r="J287" i="1"/>
  <c r="I287" i="1"/>
  <c r="H287" i="1"/>
  <c r="G287" i="1"/>
  <c r="N286" i="1"/>
  <c r="M286" i="1"/>
  <c r="L286" i="1"/>
  <c r="K286" i="1"/>
  <c r="J286" i="1"/>
  <c r="I286" i="1"/>
  <c r="H286" i="1"/>
  <c r="G286" i="1"/>
  <c r="N285" i="1"/>
  <c r="M285" i="1"/>
  <c r="L285" i="1"/>
  <c r="K285" i="1"/>
  <c r="J285" i="1"/>
  <c r="I285" i="1"/>
  <c r="H285" i="1"/>
  <c r="G285" i="1"/>
  <c r="N284" i="1"/>
  <c r="M284" i="1"/>
  <c r="L284" i="1"/>
  <c r="K284" i="1"/>
  <c r="J284" i="1"/>
  <c r="I284" i="1"/>
  <c r="H284" i="1"/>
  <c r="G284" i="1"/>
  <c r="N283" i="1"/>
  <c r="M283" i="1"/>
  <c r="L283" i="1"/>
  <c r="K283" i="1"/>
  <c r="J283" i="1"/>
  <c r="I283" i="1"/>
  <c r="H283" i="1"/>
  <c r="G283" i="1"/>
  <c r="N282" i="1"/>
  <c r="M282" i="1"/>
  <c r="L282" i="1"/>
  <c r="K282" i="1"/>
  <c r="J282" i="1"/>
  <c r="I282" i="1"/>
  <c r="H282" i="1"/>
  <c r="G282" i="1"/>
  <c r="N281" i="1"/>
  <c r="M281" i="1"/>
  <c r="L281" i="1"/>
  <c r="K281" i="1"/>
  <c r="J281" i="1"/>
  <c r="I281" i="1"/>
  <c r="H281" i="1"/>
  <c r="G281" i="1"/>
  <c r="N280" i="1"/>
  <c r="M280" i="1"/>
  <c r="L280" i="1"/>
  <c r="K280" i="1"/>
  <c r="J280" i="1"/>
  <c r="I280" i="1"/>
  <c r="H280" i="1"/>
  <c r="G280" i="1"/>
  <c r="N279" i="1"/>
  <c r="M279" i="1"/>
  <c r="L279" i="1"/>
  <c r="K279" i="1"/>
  <c r="J279" i="1"/>
  <c r="I279" i="1"/>
  <c r="H279" i="1"/>
  <c r="G279" i="1"/>
  <c r="N278" i="1"/>
  <c r="M278" i="1"/>
  <c r="L278" i="1"/>
  <c r="K278" i="1"/>
  <c r="J278" i="1"/>
  <c r="I278" i="1"/>
  <c r="H278" i="1"/>
  <c r="G278" i="1"/>
  <c r="N277" i="1"/>
  <c r="M277" i="1"/>
  <c r="L277" i="1"/>
  <c r="K277" i="1"/>
  <c r="J277" i="1"/>
  <c r="I277" i="1"/>
  <c r="H277" i="1"/>
  <c r="G277" i="1"/>
  <c r="N276" i="1"/>
  <c r="M276" i="1"/>
  <c r="L276" i="1"/>
  <c r="K276" i="1"/>
  <c r="J276" i="1"/>
  <c r="I276" i="1"/>
  <c r="H276" i="1"/>
  <c r="G276" i="1"/>
  <c r="N275" i="1"/>
  <c r="M275" i="1"/>
  <c r="L275" i="1"/>
  <c r="K275" i="1"/>
  <c r="J275" i="1"/>
  <c r="I275" i="1"/>
  <c r="H275" i="1"/>
  <c r="G275" i="1"/>
  <c r="N274" i="1"/>
  <c r="M274" i="1"/>
  <c r="L274" i="1"/>
  <c r="K274" i="1"/>
  <c r="J274" i="1"/>
  <c r="I274" i="1"/>
  <c r="H274" i="1"/>
  <c r="G274" i="1"/>
  <c r="N273" i="1"/>
  <c r="M273" i="1"/>
  <c r="L273" i="1"/>
  <c r="K273" i="1"/>
  <c r="J273" i="1"/>
  <c r="I273" i="1"/>
  <c r="H273" i="1"/>
  <c r="G273" i="1"/>
  <c r="N272" i="1"/>
  <c r="M272" i="1"/>
  <c r="L272" i="1"/>
  <c r="K272" i="1"/>
  <c r="J272" i="1"/>
  <c r="I272" i="1"/>
  <c r="H272" i="1"/>
  <c r="G272" i="1"/>
  <c r="N271" i="1"/>
  <c r="M271" i="1"/>
  <c r="L271" i="1"/>
  <c r="K271" i="1"/>
  <c r="J271" i="1"/>
  <c r="I271" i="1"/>
  <c r="H271" i="1"/>
  <c r="G271" i="1"/>
  <c r="N270" i="1"/>
  <c r="M270" i="1"/>
  <c r="L270" i="1"/>
  <c r="K270" i="1"/>
  <c r="J270" i="1"/>
  <c r="I270" i="1"/>
  <c r="H270" i="1"/>
  <c r="G270" i="1"/>
  <c r="N269" i="1"/>
  <c r="M269" i="1"/>
  <c r="L269" i="1"/>
  <c r="K269" i="1"/>
  <c r="J269" i="1"/>
  <c r="I269" i="1"/>
  <c r="H269" i="1"/>
  <c r="G269" i="1"/>
  <c r="N268" i="1"/>
  <c r="M268" i="1"/>
  <c r="L268" i="1"/>
  <c r="K268" i="1"/>
  <c r="J268" i="1"/>
  <c r="I268" i="1"/>
  <c r="H268" i="1"/>
  <c r="G268" i="1"/>
  <c r="N267" i="1"/>
  <c r="M267" i="1"/>
  <c r="L267" i="1"/>
  <c r="K267" i="1"/>
  <c r="J267" i="1"/>
  <c r="I267" i="1"/>
  <c r="H267" i="1"/>
  <c r="G267" i="1"/>
  <c r="N266" i="1"/>
  <c r="M266" i="1"/>
  <c r="L266" i="1"/>
  <c r="K266" i="1"/>
  <c r="J266" i="1"/>
  <c r="I266" i="1"/>
  <c r="H266" i="1"/>
  <c r="G266" i="1"/>
  <c r="N265" i="1"/>
  <c r="M265" i="1"/>
  <c r="L265" i="1"/>
  <c r="K265" i="1"/>
  <c r="J265" i="1"/>
  <c r="I265" i="1"/>
  <c r="H265" i="1"/>
  <c r="G265" i="1"/>
  <c r="N264" i="1"/>
  <c r="M264" i="1"/>
  <c r="L264" i="1"/>
  <c r="K264" i="1"/>
  <c r="J264" i="1"/>
  <c r="I264" i="1"/>
  <c r="H264" i="1"/>
  <c r="G264" i="1"/>
  <c r="N263" i="1"/>
  <c r="M263" i="1"/>
  <c r="L263" i="1"/>
  <c r="K263" i="1"/>
  <c r="J263" i="1"/>
  <c r="I263" i="1"/>
  <c r="H263" i="1"/>
  <c r="G263" i="1"/>
  <c r="N262" i="1"/>
  <c r="M262" i="1"/>
  <c r="L262" i="1"/>
  <c r="K262" i="1"/>
  <c r="J262" i="1"/>
  <c r="I262" i="1"/>
  <c r="H262" i="1"/>
  <c r="G262" i="1"/>
  <c r="N261" i="1"/>
  <c r="M261" i="1"/>
  <c r="L261" i="1"/>
  <c r="K261" i="1"/>
  <c r="J261" i="1"/>
  <c r="I261" i="1"/>
  <c r="H261" i="1"/>
  <c r="G261" i="1"/>
  <c r="N260" i="1"/>
  <c r="M260" i="1"/>
  <c r="L260" i="1"/>
  <c r="K260" i="1"/>
  <c r="J260" i="1"/>
  <c r="I260" i="1"/>
  <c r="H260" i="1"/>
  <c r="G260" i="1"/>
  <c r="N259" i="1"/>
  <c r="M259" i="1"/>
  <c r="L259" i="1"/>
  <c r="K259" i="1"/>
  <c r="J259" i="1"/>
  <c r="I259" i="1"/>
  <c r="H259" i="1"/>
  <c r="G259" i="1"/>
  <c r="N258" i="1"/>
  <c r="M258" i="1"/>
  <c r="L258" i="1"/>
  <c r="K258" i="1"/>
  <c r="J258" i="1"/>
  <c r="I258" i="1"/>
  <c r="H258" i="1"/>
  <c r="G258" i="1"/>
  <c r="N257" i="1"/>
  <c r="M257" i="1"/>
  <c r="L257" i="1"/>
  <c r="K257" i="1"/>
  <c r="J257" i="1"/>
  <c r="I257" i="1"/>
  <c r="H257" i="1"/>
  <c r="G257" i="1"/>
  <c r="N256" i="1"/>
  <c r="M256" i="1"/>
  <c r="L256" i="1"/>
  <c r="K256" i="1"/>
  <c r="J256" i="1"/>
  <c r="I256" i="1"/>
  <c r="H256" i="1"/>
  <c r="G256" i="1"/>
  <c r="N255" i="1"/>
  <c r="M255" i="1"/>
  <c r="L255" i="1"/>
  <c r="K255" i="1"/>
  <c r="J255" i="1"/>
  <c r="I255" i="1"/>
  <c r="H255" i="1"/>
  <c r="G255" i="1"/>
  <c r="N254" i="1"/>
  <c r="M254" i="1"/>
  <c r="L254" i="1"/>
  <c r="K254" i="1"/>
  <c r="J254" i="1"/>
  <c r="I254" i="1"/>
  <c r="H254" i="1"/>
  <c r="G254" i="1"/>
  <c r="N253" i="1"/>
  <c r="M253" i="1"/>
  <c r="L253" i="1"/>
  <c r="K253" i="1"/>
  <c r="J253" i="1"/>
  <c r="I253" i="1"/>
  <c r="H253" i="1"/>
  <c r="G253" i="1"/>
  <c r="N252" i="1"/>
  <c r="M252" i="1"/>
  <c r="L252" i="1"/>
  <c r="K252" i="1"/>
  <c r="J252" i="1"/>
  <c r="I252" i="1"/>
  <c r="H252" i="1"/>
  <c r="G252" i="1"/>
  <c r="N251" i="1"/>
  <c r="M251" i="1"/>
  <c r="L251" i="1"/>
  <c r="K251" i="1"/>
  <c r="J251" i="1"/>
  <c r="I251" i="1"/>
  <c r="H251" i="1"/>
  <c r="G251" i="1"/>
  <c r="N250" i="1"/>
  <c r="M250" i="1"/>
  <c r="L250" i="1"/>
  <c r="K250" i="1"/>
  <c r="J250" i="1"/>
  <c r="I250" i="1"/>
  <c r="H250" i="1"/>
  <c r="G250" i="1"/>
  <c r="N249" i="1"/>
  <c r="M249" i="1"/>
  <c r="L249" i="1"/>
  <c r="K249" i="1"/>
  <c r="J249" i="1"/>
  <c r="I249" i="1"/>
  <c r="H249" i="1"/>
  <c r="G249" i="1"/>
  <c r="N248" i="1"/>
  <c r="M248" i="1"/>
  <c r="L248" i="1"/>
  <c r="K248" i="1"/>
  <c r="J248" i="1"/>
  <c r="I248" i="1"/>
  <c r="H248" i="1"/>
  <c r="G248" i="1"/>
  <c r="N247" i="1"/>
  <c r="M247" i="1"/>
  <c r="L247" i="1"/>
  <c r="K247" i="1"/>
  <c r="J247" i="1"/>
  <c r="I247" i="1"/>
  <c r="H247" i="1"/>
  <c r="G247" i="1"/>
  <c r="N246" i="1"/>
  <c r="M246" i="1"/>
  <c r="L246" i="1"/>
  <c r="K246" i="1"/>
  <c r="J246" i="1"/>
  <c r="I246" i="1"/>
  <c r="H246" i="1"/>
  <c r="G246" i="1"/>
  <c r="N245" i="1"/>
  <c r="M245" i="1"/>
  <c r="L245" i="1"/>
  <c r="K245" i="1"/>
  <c r="J245" i="1"/>
  <c r="I245" i="1"/>
  <c r="H245" i="1"/>
  <c r="G245" i="1"/>
  <c r="N244" i="1"/>
  <c r="M244" i="1"/>
  <c r="L244" i="1"/>
  <c r="K244" i="1"/>
  <c r="J244" i="1"/>
  <c r="I244" i="1"/>
  <c r="H244" i="1"/>
  <c r="G244" i="1"/>
  <c r="N243" i="1"/>
  <c r="M243" i="1"/>
  <c r="L243" i="1"/>
  <c r="K243" i="1"/>
  <c r="J243" i="1"/>
  <c r="I243" i="1"/>
  <c r="H243" i="1"/>
  <c r="G243" i="1"/>
  <c r="N242" i="1"/>
  <c r="M242" i="1"/>
  <c r="L242" i="1"/>
  <c r="K242" i="1"/>
  <c r="J242" i="1"/>
  <c r="I242" i="1"/>
  <c r="H242" i="1"/>
  <c r="G242" i="1"/>
  <c r="N241" i="1"/>
  <c r="M241" i="1"/>
  <c r="L241" i="1"/>
  <c r="K241" i="1"/>
  <c r="J241" i="1"/>
  <c r="I241" i="1"/>
  <c r="H241" i="1"/>
  <c r="G241" i="1"/>
  <c r="N240" i="1"/>
  <c r="M240" i="1"/>
  <c r="L240" i="1"/>
  <c r="K240" i="1"/>
  <c r="J240" i="1"/>
  <c r="I240" i="1"/>
  <c r="H240" i="1"/>
  <c r="G240" i="1"/>
  <c r="N239" i="1"/>
  <c r="M239" i="1"/>
  <c r="L239" i="1"/>
  <c r="K239" i="1"/>
  <c r="J239" i="1"/>
  <c r="I239" i="1"/>
  <c r="H239" i="1"/>
  <c r="G239" i="1"/>
  <c r="N238" i="1"/>
  <c r="M238" i="1"/>
  <c r="L238" i="1"/>
  <c r="K238" i="1"/>
  <c r="J238" i="1"/>
  <c r="I238" i="1"/>
  <c r="H238" i="1"/>
  <c r="G238" i="1"/>
  <c r="N237" i="1"/>
  <c r="M237" i="1"/>
  <c r="L237" i="1"/>
  <c r="K237" i="1"/>
  <c r="J237" i="1"/>
  <c r="I237" i="1"/>
  <c r="H237" i="1"/>
  <c r="G237" i="1"/>
  <c r="N236" i="1"/>
  <c r="M236" i="1"/>
  <c r="L236" i="1"/>
  <c r="K236" i="1"/>
  <c r="J236" i="1"/>
  <c r="I236" i="1"/>
  <c r="H236" i="1"/>
  <c r="G236" i="1"/>
  <c r="N235" i="1"/>
  <c r="M235" i="1"/>
  <c r="L235" i="1"/>
  <c r="K235" i="1"/>
  <c r="J235" i="1"/>
  <c r="I235" i="1"/>
  <c r="H235" i="1"/>
  <c r="G235" i="1"/>
  <c r="N234" i="1"/>
  <c r="M234" i="1"/>
  <c r="L234" i="1"/>
  <c r="K234" i="1"/>
  <c r="J234" i="1"/>
  <c r="I234" i="1"/>
  <c r="H234" i="1"/>
  <c r="G234" i="1"/>
  <c r="N233" i="1"/>
  <c r="M233" i="1"/>
  <c r="L233" i="1"/>
  <c r="K233" i="1"/>
  <c r="J233" i="1"/>
  <c r="I233" i="1"/>
  <c r="H233" i="1"/>
  <c r="G233" i="1"/>
  <c r="N232" i="1"/>
  <c r="M232" i="1"/>
  <c r="L232" i="1"/>
  <c r="K232" i="1"/>
  <c r="J232" i="1"/>
  <c r="I232" i="1"/>
  <c r="H232" i="1"/>
  <c r="G232" i="1"/>
  <c r="N231" i="1"/>
  <c r="M231" i="1"/>
  <c r="L231" i="1"/>
  <c r="K231" i="1"/>
  <c r="J231" i="1"/>
  <c r="I231" i="1"/>
  <c r="H231" i="1"/>
  <c r="G231" i="1"/>
  <c r="N230" i="1"/>
  <c r="M230" i="1"/>
  <c r="L230" i="1"/>
  <c r="K230" i="1"/>
  <c r="J230" i="1"/>
  <c r="I230" i="1"/>
  <c r="H230" i="1"/>
  <c r="G230" i="1"/>
  <c r="N229" i="1"/>
  <c r="M229" i="1"/>
  <c r="L229" i="1"/>
  <c r="K229" i="1"/>
  <c r="J229" i="1"/>
  <c r="I229" i="1"/>
  <c r="H229" i="1"/>
  <c r="G229" i="1"/>
  <c r="N228" i="1"/>
  <c r="M228" i="1"/>
  <c r="L228" i="1"/>
  <c r="K228" i="1"/>
  <c r="J228" i="1"/>
  <c r="I228" i="1"/>
  <c r="H228" i="1"/>
  <c r="G228" i="1"/>
  <c r="N227" i="1"/>
  <c r="M227" i="1"/>
  <c r="L227" i="1"/>
  <c r="K227" i="1"/>
  <c r="J227" i="1"/>
  <c r="I227" i="1"/>
  <c r="H227" i="1"/>
  <c r="G227" i="1"/>
  <c r="N226" i="1"/>
  <c r="M226" i="1"/>
  <c r="L226" i="1"/>
  <c r="K226" i="1"/>
  <c r="J226" i="1"/>
  <c r="I226" i="1"/>
  <c r="H226" i="1"/>
  <c r="G226" i="1"/>
  <c r="N225" i="1"/>
  <c r="M225" i="1"/>
  <c r="L225" i="1"/>
  <c r="K225" i="1"/>
  <c r="J225" i="1"/>
  <c r="I225" i="1"/>
  <c r="H225" i="1"/>
  <c r="G225" i="1"/>
  <c r="N224" i="1"/>
  <c r="M224" i="1"/>
  <c r="L224" i="1"/>
  <c r="K224" i="1"/>
  <c r="J224" i="1"/>
  <c r="I224" i="1"/>
  <c r="H224" i="1"/>
  <c r="G224" i="1"/>
  <c r="N223" i="1"/>
  <c r="M223" i="1"/>
  <c r="L223" i="1"/>
  <c r="K223" i="1"/>
  <c r="J223" i="1"/>
  <c r="I223" i="1"/>
  <c r="H223" i="1"/>
  <c r="G223" i="1"/>
  <c r="N222" i="1"/>
  <c r="M222" i="1"/>
  <c r="L222" i="1"/>
  <c r="K222" i="1"/>
  <c r="J222" i="1"/>
  <c r="I222" i="1"/>
  <c r="H222" i="1"/>
  <c r="G222" i="1"/>
  <c r="N221" i="1"/>
  <c r="M221" i="1"/>
  <c r="L221" i="1"/>
  <c r="K221" i="1"/>
  <c r="J221" i="1"/>
  <c r="I221" i="1"/>
  <c r="H221" i="1"/>
  <c r="G221" i="1"/>
  <c r="N220" i="1"/>
  <c r="M220" i="1"/>
  <c r="L220" i="1"/>
  <c r="K220" i="1"/>
  <c r="J220" i="1"/>
  <c r="I220" i="1"/>
  <c r="H220" i="1"/>
  <c r="G220" i="1"/>
  <c r="N219" i="1"/>
  <c r="M219" i="1"/>
  <c r="L219" i="1"/>
  <c r="K219" i="1"/>
  <c r="J219" i="1"/>
  <c r="I219" i="1"/>
  <c r="H219" i="1"/>
  <c r="G219" i="1"/>
  <c r="N218" i="1"/>
  <c r="M218" i="1"/>
  <c r="L218" i="1"/>
  <c r="K218" i="1"/>
  <c r="J218" i="1"/>
  <c r="I218" i="1"/>
  <c r="H218" i="1"/>
  <c r="G218" i="1"/>
  <c r="N217" i="1"/>
  <c r="M217" i="1"/>
  <c r="L217" i="1"/>
  <c r="K217" i="1"/>
  <c r="J217" i="1"/>
  <c r="I217" i="1"/>
  <c r="H217" i="1"/>
  <c r="G217" i="1"/>
  <c r="N216" i="1"/>
  <c r="M216" i="1"/>
  <c r="L216" i="1"/>
  <c r="K216" i="1"/>
  <c r="J216" i="1"/>
  <c r="I216" i="1"/>
  <c r="H216" i="1"/>
  <c r="G216" i="1"/>
  <c r="N215" i="1"/>
  <c r="M215" i="1"/>
  <c r="L215" i="1"/>
  <c r="K215" i="1"/>
  <c r="J215" i="1"/>
  <c r="I215" i="1"/>
  <c r="H215" i="1"/>
  <c r="G215" i="1"/>
  <c r="N214" i="1"/>
  <c r="M214" i="1"/>
  <c r="L214" i="1"/>
  <c r="K214" i="1"/>
  <c r="J214" i="1"/>
  <c r="I214" i="1"/>
  <c r="H214" i="1"/>
  <c r="G214" i="1"/>
  <c r="N213" i="1"/>
  <c r="M213" i="1"/>
  <c r="L213" i="1"/>
  <c r="K213" i="1"/>
  <c r="J213" i="1"/>
  <c r="I213" i="1"/>
  <c r="H213" i="1"/>
  <c r="G213" i="1"/>
  <c r="N212" i="1"/>
  <c r="M212" i="1"/>
  <c r="L212" i="1"/>
  <c r="K212" i="1"/>
  <c r="J212" i="1"/>
  <c r="I212" i="1"/>
  <c r="H212" i="1"/>
  <c r="G212" i="1"/>
  <c r="N211" i="1"/>
  <c r="M211" i="1"/>
  <c r="L211" i="1"/>
  <c r="K211" i="1"/>
  <c r="J211" i="1"/>
  <c r="I211" i="1"/>
  <c r="H211" i="1"/>
  <c r="G211" i="1"/>
  <c r="N210" i="1"/>
  <c r="M210" i="1"/>
  <c r="L210" i="1"/>
  <c r="K210" i="1"/>
  <c r="J210" i="1"/>
  <c r="I210" i="1"/>
  <c r="H210" i="1"/>
  <c r="G210" i="1"/>
  <c r="N209" i="1"/>
  <c r="M209" i="1"/>
  <c r="L209" i="1"/>
  <c r="K209" i="1"/>
  <c r="J209" i="1"/>
  <c r="I209" i="1"/>
  <c r="H209" i="1"/>
  <c r="G209" i="1"/>
  <c r="N208" i="1"/>
  <c r="M208" i="1"/>
  <c r="L208" i="1"/>
  <c r="K208" i="1"/>
  <c r="J208" i="1"/>
  <c r="I208" i="1"/>
  <c r="H208" i="1"/>
  <c r="G208" i="1"/>
  <c r="N207" i="1"/>
  <c r="M207" i="1"/>
  <c r="L207" i="1"/>
  <c r="K207" i="1"/>
  <c r="J207" i="1"/>
  <c r="I207" i="1"/>
  <c r="H207" i="1"/>
  <c r="G207" i="1"/>
  <c r="N206" i="1"/>
  <c r="M206" i="1"/>
  <c r="L206" i="1"/>
  <c r="K206" i="1"/>
  <c r="J206" i="1"/>
  <c r="I206" i="1"/>
  <c r="H206" i="1"/>
  <c r="G206" i="1"/>
  <c r="N205" i="1"/>
  <c r="M205" i="1"/>
  <c r="L205" i="1"/>
  <c r="K205" i="1"/>
  <c r="J205" i="1"/>
  <c r="I205" i="1"/>
  <c r="H205" i="1"/>
  <c r="G205" i="1"/>
  <c r="N204" i="1"/>
  <c r="M204" i="1"/>
  <c r="L204" i="1"/>
  <c r="K204" i="1"/>
  <c r="J204" i="1"/>
  <c r="I204" i="1"/>
  <c r="H204" i="1"/>
  <c r="G204" i="1"/>
  <c r="N203" i="1"/>
  <c r="M203" i="1"/>
  <c r="L203" i="1"/>
  <c r="K203" i="1"/>
  <c r="J203" i="1"/>
  <c r="I203" i="1"/>
  <c r="H203" i="1"/>
  <c r="G203" i="1"/>
  <c r="N202" i="1"/>
  <c r="M202" i="1"/>
  <c r="L202" i="1"/>
  <c r="K202" i="1"/>
  <c r="J202" i="1"/>
  <c r="I202" i="1"/>
  <c r="H202" i="1"/>
  <c r="G202" i="1"/>
  <c r="N201" i="1"/>
  <c r="M201" i="1"/>
  <c r="L201" i="1"/>
  <c r="K201" i="1"/>
  <c r="J201" i="1"/>
  <c r="I201" i="1"/>
  <c r="H201" i="1"/>
  <c r="G201" i="1"/>
  <c r="N200" i="1"/>
  <c r="M200" i="1"/>
  <c r="L200" i="1"/>
  <c r="K200" i="1"/>
  <c r="J200" i="1"/>
  <c r="I200" i="1"/>
  <c r="H200" i="1"/>
  <c r="G200" i="1"/>
  <c r="N199" i="1"/>
  <c r="M199" i="1"/>
  <c r="L199" i="1"/>
  <c r="K199" i="1"/>
  <c r="J199" i="1"/>
  <c r="I199" i="1"/>
  <c r="H199" i="1"/>
  <c r="G199" i="1"/>
  <c r="N198" i="1"/>
  <c r="M198" i="1"/>
  <c r="L198" i="1"/>
  <c r="K198" i="1"/>
  <c r="J198" i="1"/>
  <c r="I198" i="1"/>
  <c r="H198" i="1"/>
  <c r="G198" i="1"/>
  <c r="N197" i="1"/>
  <c r="M197" i="1"/>
  <c r="L197" i="1"/>
  <c r="K197" i="1"/>
  <c r="J197" i="1"/>
  <c r="I197" i="1"/>
  <c r="H197" i="1"/>
  <c r="G197" i="1"/>
  <c r="N196" i="1"/>
  <c r="M196" i="1"/>
  <c r="L196" i="1"/>
  <c r="K196" i="1"/>
  <c r="J196" i="1"/>
  <c r="I196" i="1"/>
  <c r="H196" i="1"/>
  <c r="G196" i="1"/>
  <c r="N195" i="1"/>
  <c r="M195" i="1"/>
  <c r="L195" i="1"/>
  <c r="K195" i="1"/>
  <c r="J195" i="1"/>
  <c r="I195" i="1"/>
  <c r="H195" i="1"/>
  <c r="G195" i="1"/>
  <c r="N194" i="1"/>
  <c r="M194" i="1"/>
  <c r="L194" i="1"/>
  <c r="K194" i="1"/>
  <c r="J194" i="1"/>
  <c r="I194" i="1"/>
  <c r="H194" i="1"/>
  <c r="G194" i="1"/>
  <c r="N193" i="1"/>
  <c r="M193" i="1"/>
  <c r="L193" i="1"/>
  <c r="K193" i="1"/>
  <c r="J193" i="1"/>
  <c r="I193" i="1"/>
  <c r="H193" i="1"/>
  <c r="G193" i="1"/>
  <c r="N192" i="1"/>
  <c r="M192" i="1"/>
  <c r="L192" i="1"/>
  <c r="K192" i="1"/>
  <c r="J192" i="1"/>
  <c r="I192" i="1"/>
  <c r="H192" i="1"/>
  <c r="G192" i="1"/>
  <c r="N191" i="1"/>
  <c r="M191" i="1"/>
  <c r="L191" i="1"/>
  <c r="K191" i="1"/>
  <c r="J191" i="1"/>
  <c r="I191" i="1"/>
  <c r="H191" i="1"/>
  <c r="G191" i="1"/>
  <c r="N190" i="1"/>
  <c r="M190" i="1"/>
  <c r="L190" i="1"/>
  <c r="K190" i="1"/>
  <c r="J190" i="1"/>
  <c r="I190" i="1"/>
  <c r="H190" i="1"/>
  <c r="G190" i="1"/>
  <c r="N189" i="1"/>
  <c r="M189" i="1"/>
  <c r="L189" i="1"/>
  <c r="K189" i="1"/>
  <c r="J189" i="1"/>
  <c r="I189" i="1"/>
  <c r="H189" i="1"/>
  <c r="G189" i="1"/>
  <c r="N188" i="1"/>
  <c r="M188" i="1"/>
  <c r="L188" i="1"/>
  <c r="K188" i="1"/>
  <c r="J188" i="1"/>
  <c r="I188" i="1"/>
  <c r="H188" i="1"/>
  <c r="G188" i="1"/>
  <c r="N187" i="1"/>
  <c r="M187" i="1"/>
  <c r="L187" i="1"/>
  <c r="K187" i="1"/>
  <c r="J187" i="1"/>
  <c r="I187" i="1"/>
  <c r="H187" i="1"/>
  <c r="G187" i="1"/>
  <c r="N186" i="1"/>
  <c r="M186" i="1"/>
  <c r="L186" i="1"/>
  <c r="K186" i="1"/>
  <c r="J186" i="1"/>
  <c r="I186" i="1"/>
  <c r="H186" i="1"/>
  <c r="G186" i="1"/>
  <c r="N185" i="1"/>
  <c r="M185" i="1"/>
  <c r="L185" i="1"/>
  <c r="K185" i="1"/>
  <c r="J185" i="1"/>
  <c r="I185" i="1"/>
  <c r="H185" i="1"/>
  <c r="G185" i="1"/>
  <c r="N184" i="1"/>
  <c r="M184" i="1"/>
  <c r="L184" i="1"/>
  <c r="K184" i="1"/>
  <c r="J184" i="1"/>
  <c r="I184" i="1"/>
  <c r="H184" i="1"/>
  <c r="G184" i="1"/>
  <c r="N183" i="1"/>
  <c r="M183" i="1"/>
  <c r="L183" i="1"/>
  <c r="K183" i="1"/>
  <c r="J183" i="1"/>
  <c r="I183" i="1"/>
  <c r="H183" i="1"/>
  <c r="G183" i="1"/>
  <c r="N182" i="1"/>
  <c r="M182" i="1"/>
  <c r="L182" i="1"/>
  <c r="K182" i="1"/>
  <c r="J182" i="1"/>
  <c r="I182" i="1"/>
  <c r="H182" i="1"/>
  <c r="G182" i="1"/>
  <c r="N181" i="1"/>
  <c r="M181" i="1"/>
  <c r="L181" i="1"/>
  <c r="K181" i="1"/>
  <c r="J181" i="1"/>
  <c r="I181" i="1"/>
  <c r="H181" i="1"/>
  <c r="G181" i="1"/>
  <c r="N180" i="1"/>
  <c r="M180" i="1"/>
  <c r="L180" i="1"/>
  <c r="K180" i="1"/>
  <c r="J180" i="1"/>
  <c r="I180" i="1"/>
  <c r="H180" i="1"/>
  <c r="G180" i="1"/>
  <c r="N179" i="1"/>
  <c r="M179" i="1"/>
  <c r="L179" i="1"/>
  <c r="K179" i="1"/>
  <c r="J179" i="1"/>
  <c r="I179" i="1"/>
  <c r="H179" i="1"/>
  <c r="G179" i="1"/>
  <c r="N178" i="1"/>
  <c r="M178" i="1"/>
  <c r="L178" i="1"/>
  <c r="K178" i="1"/>
  <c r="J178" i="1"/>
  <c r="I178" i="1"/>
  <c r="H178" i="1"/>
  <c r="G178" i="1"/>
  <c r="N177" i="1"/>
  <c r="M177" i="1"/>
  <c r="L177" i="1"/>
  <c r="K177" i="1"/>
  <c r="J177" i="1"/>
  <c r="I177" i="1"/>
  <c r="H177" i="1"/>
  <c r="G177" i="1"/>
  <c r="N176" i="1"/>
  <c r="M176" i="1"/>
  <c r="L176" i="1"/>
  <c r="K176" i="1"/>
  <c r="J176" i="1"/>
  <c r="I176" i="1"/>
  <c r="H176" i="1"/>
  <c r="G176" i="1"/>
  <c r="N175" i="1"/>
  <c r="M175" i="1"/>
  <c r="L175" i="1"/>
  <c r="K175" i="1"/>
  <c r="J175" i="1"/>
  <c r="I175" i="1"/>
  <c r="H175" i="1"/>
  <c r="G175" i="1"/>
  <c r="N174" i="1"/>
  <c r="M174" i="1"/>
  <c r="L174" i="1"/>
  <c r="K174" i="1"/>
  <c r="J174" i="1"/>
  <c r="I174" i="1"/>
  <c r="H174" i="1"/>
  <c r="G174" i="1"/>
  <c r="N173" i="1"/>
  <c r="M173" i="1"/>
  <c r="L173" i="1"/>
  <c r="K173" i="1"/>
  <c r="J173" i="1"/>
  <c r="I173" i="1"/>
  <c r="H173" i="1"/>
  <c r="G173" i="1"/>
  <c r="N172" i="1"/>
  <c r="M172" i="1"/>
  <c r="L172" i="1"/>
  <c r="K172" i="1"/>
  <c r="J172" i="1"/>
  <c r="I172" i="1"/>
  <c r="H172" i="1"/>
  <c r="G172" i="1"/>
  <c r="N171" i="1"/>
  <c r="M171" i="1"/>
  <c r="L171" i="1"/>
  <c r="K171" i="1"/>
  <c r="J171" i="1"/>
  <c r="I171" i="1"/>
  <c r="H171" i="1"/>
  <c r="G171" i="1"/>
  <c r="N170" i="1"/>
  <c r="M170" i="1"/>
  <c r="L170" i="1"/>
  <c r="K170" i="1"/>
  <c r="J170" i="1"/>
  <c r="I170" i="1"/>
  <c r="H170" i="1"/>
  <c r="G170" i="1"/>
  <c r="N169" i="1"/>
  <c r="M169" i="1"/>
  <c r="L169" i="1"/>
  <c r="K169" i="1"/>
  <c r="J169" i="1"/>
  <c r="I169" i="1"/>
  <c r="H169" i="1"/>
  <c r="G169" i="1"/>
  <c r="N168" i="1"/>
  <c r="M168" i="1"/>
  <c r="L168" i="1"/>
  <c r="K168" i="1"/>
  <c r="J168" i="1"/>
  <c r="I168" i="1"/>
  <c r="H168" i="1"/>
  <c r="G168" i="1"/>
  <c r="N167" i="1"/>
  <c r="M167" i="1"/>
  <c r="L167" i="1"/>
  <c r="K167" i="1"/>
  <c r="J167" i="1"/>
  <c r="I167" i="1"/>
  <c r="H167" i="1"/>
  <c r="G167" i="1"/>
  <c r="N166" i="1"/>
  <c r="M166" i="1"/>
  <c r="L166" i="1"/>
  <c r="K166" i="1"/>
  <c r="J166" i="1"/>
  <c r="I166" i="1"/>
  <c r="H166" i="1"/>
  <c r="G166" i="1"/>
  <c r="N165" i="1"/>
  <c r="M165" i="1"/>
  <c r="L165" i="1"/>
  <c r="K165" i="1"/>
  <c r="J165" i="1"/>
  <c r="I165" i="1"/>
  <c r="H165" i="1"/>
  <c r="G165" i="1"/>
  <c r="N164" i="1"/>
  <c r="M164" i="1"/>
  <c r="L164" i="1"/>
  <c r="K164" i="1"/>
  <c r="J164" i="1"/>
  <c r="I164" i="1"/>
  <c r="H164" i="1"/>
  <c r="G164" i="1"/>
  <c r="N163" i="1"/>
  <c r="M163" i="1"/>
  <c r="L163" i="1"/>
  <c r="K163" i="1"/>
  <c r="J163" i="1"/>
  <c r="I163" i="1"/>
  <c r="H163" i="1"/>
  <c r="G163" i="1"/>
  <c r="N162" i="1"/>
  <c r="M162" i="1"/>
  <c r="L162" i="1"/>
  <c r="K162" i="1"/>
  <c r="J162" i="1"/>
  <c r="I162" i="1"/>
  <c r="H162" i="1"/>
  <c r="G162" i="1"/>
  <c r="N161" i="1"/>
  <c r="M161" i="1"/>
  <c r="L161" i="1"/>
  <c r="K161" i="1"/>
  <c r="J161" i="1"/>
  <c r="I161" i="1"/>
  <c r="H161" i="1"/>
  <c r="G161" i="1"/>
  <c r="N160" i="1"/>
  <c r="M160" i="1"/>
  <c r="L160" i="1"/>
  <c r="K160" i="1"/>
  <c r="J160" i="1"/>
  <c r="I160" i="1"/>
  <c r="H160" i="1"/>
  <c r="G160" i="1"/>
  <c r="N159" i="1"/>
  <c r="M159" i="1"/>
  <c r="L159" i="1"/>
  <c r="K159" i="1"/>
  <c r="J159" i="1"/>
  <c r="I159" i="1"/>
  <c r="H159" i="1"/>
  <c r="G159" i="1"/>
  <c r="N158" i="1"/>
  <c r="M158" i="1"/>
  <c r="L158" i="1"/>
  <c r="K158" i="1"/>
  <c r="J158" i="1"/>
  <c r="I158" i="1"/>
  <c r="H158" i="1"/>
  <c r="G158" i="1"/>
  <c r="N157" i="1"/>
  <c r="M157" i="1"/>
  <c r="L157" i="1"/>
  <c r="K157" i="1"/>
  <c r="J157" i="1"/>
  <c r="I157" i="1"/>
  <c r="H157" i="1"/>
  <c r="G157" i="1"/>
  <c r="N156" i="1"/>
  <c r="M156" i="1"/>
  <c r="L156" i="1"/>
  <c r="K156" i="1"/>
  <c r="J156" i="1"/>
  <c r="I156" i="1"/>
  <c r="H156" i="1"/>
  <c r="G156" i="1"/>
  <c r="N155" i="1"/>
  <c r="M155" i="1"/>
  <c r="L155" i="1"/>
  <c r="K155" i="1"/>
  <c r="J155" i="1"/>
  <c r="I155" i="1"/>
  <c r="H155" i="1"/>
  <c r="G155" i="1"/>
  <c r="N154" i="1"/>
  <c r="M154" i="1"/>
  <c r="L154" i="1"/>
  <c r="K154" i="1"/>
  <c r="J154" i="1"/>
  <c r="I154" i="1"/>
  <c r="H154" i="1"/>
  <c r="G154" i="1"/>
  <c r="N153" i="1"/>
  <c r="M153" i="1"/>
  <c r="L153" i="1"/>
  <c r="K153" i="1"/>
  <c r="J153" i="1"/>
  <c r="I153" i="1"/>
  <c r="H153" i="1"/>
  <c r="G153" i="1"/>
  <c r="N152" i="1"/>
  <c r="M152" i="1"/>
  <c r="L152" i="1"/>
  <c r="K152" i="1"/>
  <c r="J152" i="1"/>
  <c r="I152" i="1"/>
  <c r="H152" i="1"/>
  <c r="G152" i="1"/>
  <c r="N151" i="1"/>
  <c r="M151" i="1"/>
  <c r="L151" i="1"/>
  <c r="K151" i="1"/>
  <c r="J151" i="1"/>
  <c r="I151" i="1"/>
  <c r="H151" i="1"/>
  <c r="G151" i="1"/>
  <c r="N150" i="1"/>
  <c r="M150" i="1"/>
  <c r="L150" i="1"/>
  <c r="K150" i="1"/>
  <c r="J150" i="1"/>
  <c r="I150" i="1"/>
  <c r="H150" i="1"/>
  <c r="G150" i="1"/>
  <c r="N149" i="1"/>
  <c r="M149" i="1"/>
  <c r="L149" i="1"/>
  <c r="K149" i="1"/>
  <c r="J149" i="1"/>
  <c r="I149" i="1"/>
  <c r="H149" i="1"/>
  <c r="G149" i="1"/>
  <c r="N148" i="1"/>
  <c r="M148" i="1"/>
  <c r="L148" i="1"/>
  <c r="K148" i="1"/>
  <c r="J148" i="1"/>
  <c r="I148" i="1"/>
  <c r="H148" i="1"/>
  <c r="G148" i="1"/>
  <c r="N147" i="1"/>
  <c r="M147" i="1"/>
  <c r="L147" i="1"/>
  <c r="K147" i="1"/>
  <c r="J147" i="1"/>
  <c r="I147" i="1"/>
  <c r="H147" i="1"/>
  <c r="G147" i="1"/>
  <c r="N146" i="1"/>
  <c r="M146" i="1"/>
  <c r="L146" i="1"/>
  <c r="K146" i="1"/>
  <c r="J146" i="1"/>
  <c r="I146" i="1"/>
  <c r="H146" i="1"/>
  <c r="G146" i="1"/>
  <c r="N145" i="1"/>
  <c r="M145" i="1"/>
  <c r="L145" i="1"/>
  <c r="K145" i="1"/>
  <c r="J145" i="1"/>
  <c r="I145" i="1"/>
  <c r="H145" i="1"/>
  <c r="G145" i="1"/>
  <c r="N144" i="1"/>
  <c r="M144" i="1"/>
  <c r="L144" i="1"/>
  <c r="K144" i="1"/>
  <c r="J144" i="1"/>
  <c r="I144" i="1"/>
  <c r="H144" i="1"/>
  <c r="G144" i="1"/>
  <c r="N143" i="1"/>
  <c r="M143" i="1"/>
  <c r="L143" i="1"/>
  <c r="K143" i="1"/>
  <c r="J143" i="1"/>
  <c r="I143" i="1"/>
  <c r="H143" i="1"/>
  <c r="G143" i="1"/>
  <c r="N142" i="1"/>
  <c r="M142" i="1"/>
  <c r="L142" i="1"/>
  <c r="K142" i="1"/>
  <c r="J142" i="1"/>
  <c r="I142" i="1"/>
  <c r="H142" i="1"/>
  <c r="G142" i="1"/>
  <c r="N141" i="1"/>
  <c r="M141" i="1"/>
  <c r="L141" i="1"/>
  <c r="K141" i="1"/>
  <c r="J141" i="1"/>
  <c r="I141" i="1"/>
  <c r="H141" i="1"/>
  <c r="G141" i="1"/>
  <c r="N140" i="1"/>
  <c r="M140" i="1"/>
  <c r="L140" i="1"/>
  <c r="K140" i="1"/>
  <c r="J140" i="1"/>
  <c r="I140" i="1"/>
  <c r="H140" i="1"/>
  <c r="G140" i="1"/>
  <c r="N139" i="1"/>
  <c r="M139" i="1"/>
  <c r="L139" i="1"/>
  <c r="K139" i="1"/>
  <c r="J139" i="1"/>
  <c r="I139" i="1"/>
  <c r="H139" i="1"/>
  <c r="G139" i="1"/>
  <c r="N138" i="1"/>
  <c r="M138" i="1"/>
  <c r="L138" i="1"/>
  <c r="K138" i="1"/>
  <c r="J138" i="1"/>
  <c r="I138" i="1"/>
  <c r="H138" i="1"/>
  <c r="G138" i="1"/>
  <c r="N137" i="1"/>
  <c r="M137" i="1"/>
  <c r="L137" i="1"/>
  <c r="K137" i="1"/>
  <c r="J137" i="1"/>
  <c r="I137" i="1"/>
  <c r="H137" i="1"/>
  <c r="G137" i="1"/>
  <c r="N136" i="1"/>
  <c r="M136" i="1"/>
  <c r="L136" i="1"/>
  <c r="K136" i="1"/>
  <c r="J136" i="1"/>
  <c r="I136" i="1"/>
  <c r="H136" i="1"/>
  <c r="G136" i="1"/>
  <c r="N135" i="1"/>
  <c r="M135" i="1"/>
  <c r="L135" i="1"/>
  <c r="K135" i="1"/>
  <c r="J135" i="1"/>
  <c r="I135" i="1"/>
  <c r="H135" i="1"/>
  <c r="G135" i="1"/>
  <c r="N134" i="1"/>
  <c r="M134" i="1"/>
  <c r="L134" i="1"/>
  <c r="K134" i="1"/>
  <c r="J134" i="1"/>
  <c r="I134" i="1"/>
  <c r="H134" i="1"/>
  <c r="G134" i="1"/>
  <c r="N133" i="1"/>
  <c r="M133" i="1"/>
  <c r="L133" i="1"/>
  <c r="K133" i="1"/>
  <c r="J133" i="1"/>
  <c r="I133" i="1"/>
  <c r="H133" i="1"/>
  <c r="G133" i="1"/>
  <c r="N132" i="1"/>
  <c r="M132" i="1"/>
  <c r="L132" i="1"/>
  <c r="K132" i="1"/>
  <c r="J132" i="1"/>
  <c r="I132" i="1"/>
  <c r="H132" i="1"/>
  <c r="G132" i="1"/>
  <c r="N131" i="1"/>
  <c r="M131" i="1"/>
  <c r="L131" i="1"/>
  <c r="K131" i="1"/>
  <c r="J131" i="1"/>
  <c r="I131" i="1"/>
  <c r="H131" i="1"/>
  <c r="G131" i="1"/>
  <c r="N130" i="1"/>
  <c r="M130" i="1"/>
  <c r="L130" i="1"/>
  <c r="K130" i="1"/>
  <c r="J130" i="1"/>
  <c r="I130" i="1"/>
  <c r="H130" i="1"/>
  <c r="G130" i="1"/>
  <c r="N129" i="1"/>
  <c r="M129" i="1"/>
  <c r="L129" i="1"/>
  <c r="K129" i="1"/>
  <c r="J129" i="1"/>
  <c r="I129" i="1"/>
  <c r="H129" i="1"/>
  <c r="G129" i="1"/>
  <c r="N128" i="1"/>
  <c r="M128" i="1"/>
  <c r="L128" i="1"/>
  <c r="K128" i="1"/>
  <c r="J128" i="1"/>
  <c r="I128" i="1"/>
  <c r="H128" i="1"/>
  <c r="G128" i="1"/>
  <c r="N127" i="1"/>
  <c r="M127" i="1"/>
  <c r="L127" i="1"/>
  <c r="K127" i="1"/>
  <c r="J127" i="1"/>
  <c r="I127" i="1"/>
  <c r="H127" i="1"/>
  <c r="G127" i="1"/>
  <c r="N126" i="1"/>
  <c r="M126" i="1"/>
  <c r="L126" i="1"/>
  <c r="K126" i="1"/>
  <c r="J126" i="1"/>
  <c r="I126" i="1"/>
  <c r="H126" i="1"/>
  <c r="G126" i="1"/>
  <c r="N125" i="1"/>
  <c r="M125" i="1"/>
  <c r="L125" i="1"/>
  <c r="K125" i="1"/>
  <c r="J125" i="1"/>
  <c r="I125" i="1"/>
  <c r="H125" i="1"/>
  <c r="G125" i="1"/>
  <c r="N124" i="1"/>
  <c r="M124" i="1"/>
  <c r="L124" i="1"/>
  <c r="K124" i="1"/>
  <c r="J124" i="1"/>
  <c r="I124" i="1"/>
  <c r="H124" i="1"/>
  <c r="G124" i="1"/>
  <c r="N123" i="1"/>
  <c r="M123" i="1"/>
  <c r="L123" i="1"/>
  <c r="K123" i="1"/>
  <c r="J123" i="1"/>
  <c r="I123" i="1"/>
  <c r="H123" i="1"/>
  <c r="G123" i="1"/>
  <c r="N122" i="1"/>
  <c r="M122" i="1"/>
  <c r="L122" i="1"/>
  <c r="K122" i="1"/>
  <c r="J122" i="1"/>
  <c r="I122" i="1"/>
  <c r="H122" i="1"/>
  <c r="G122" i="1"/>
  <c r="N121" i="1"/>
  <c r="M121" i="1"/>
  <c r="L121" i="1"/>
  <c r="K121" i="1"/>
  <c r="J121" i="1"/>
  <c r="I121" i="1"/>
  <c r="H121" i="1"/>
  <c r="G121" i="1"/>
  <c r="N120" i="1"/>
  <c r="M120" i="1"/>
  <c r="L120" i="1"/>
  <c r="K120" i="1"/>
  <c r="J120" i="1"/>
  <c r="I120" i="1"/>
  <c r="H120" i="1"/>
  <c r="G120" i="1"/>
  <c r="N119" i="1"/>
  <c r="M119" i="1"/>
  <c r="L119" i="1"/>
  <c r="K119" i="1"/>
  <c r="J119" i="1"/>
  <c r="I119" i="1"/>
  <c r="H119" i="1"/>
  <c r="G119" i="1"/>
  <c r="N118" i="1"/>
  <c r="M118" i="1"/>
  <c r="L118" i="1"/>
  <c r="K118" i="1"/>
  <c r="J118" i="1"/>
  <c r="I118" i="1"/>
  <c r="H118" i="1"/>
  <c r="G118" i="1"/>
  <c r="N117" i="1"/>
  <c r="M117" i="1"/>
  <c r="L117" i="1"/>
  <c r="K117" i="1"/>
  <c r="J117" i="1"/>
  <c r="I117" i="1"/>
  <c r="H117" i="1"/>
  <c r="G117" i="1"/>
  <c r="N116" i="1"/>
  <c r="M116" i="1"/>
  <c r="L116" i="1"/>
  <c r="K116" i="1"/>
  <c r="J116" i="1"/>
  <c r="I116" i="1"/>
  <c r="H116" i="1"/>
  <c r="G116" i="1"/>
  <c r="N115" i="1"/>
  <c r="M115" i="1"/>
  <c r="L115" i="1"/>
  <c r="K115" i="1"/>
  <c r="J115" i="1"/>
  <c r="I115" i="1"/>
  <c r="H115" i="1"/>
  <c r="G115" i="1"/>
  <c r="N114" i="1"/>
  <c r="M114" i="1"/>
  <c r="L114" i="1"/>
  <c r="K114" i="1"/>
  <c r="J114" i="1"/>
  <c r="I114" i="1"/>
  <c r="H114" i="1"/>
  <c r="G114" i="1"/>
  <c r="N113" i="1"/>
  <c r="M113" i="1"/>
  <c r="L113" i="1"/>
  <c r="K113" i="1"/>
  <c r="J113" i="1"/>
  <c r="I113" i="1"/>
  <c r="H113" i="1"/>
  <c r="G113" i="1"/>
  <c r="N112" i="1"/>
  <c r="M112" i="1"/>
  <c r="L112" i="1"/>
  <c r="K112" i="1"/>
  <c r="J112" i="1"/>
  <c r="I112" i="1"/>
  <c r="H112" i="1"/>
  <c r="G112" i="1"/>
  <c r="N111" i="1"/>
  <c r="M111" i="1"/>
  <c r="L111" i="1"/>
  <c r="K111" i="1"/>
  <c r="J111" i="1"/>
  <c r="I111" i="1"/>
  <c r="H111" i="1"/>
  <c r="G111" i="1"/>
  <c r="N110" i="1"/>
  <c r="M110" i="1"/>
  <c r="L110" i="1"/>
  <c r="K110" i="1"/>
  <c r="J110" i="1"/>
  <c r="I110" i="1"/>
  <c r="H110" i="1"/>
  <c r="G110" i="1"/>
  <c r="N109" i="1"/>
  <c r="M109" i="1"/>
  <c r="L109" i="1"/>
  <c r="K109" i="1"/>
  <c r="J109" i="1"/>
  <c r="I109" i="1"/>
  <c r="H109" i="1"/>
  <c r="G109" i="1"/>
  <c r="N108" i="1"/>
  <c r="M108" i="1"/>
  <c r="L108" i="1"/>
  <c r="K108" i="1"/>
  <c r="J108" i="1"/>
  <c r="I108" i="1"/>
  <c r="H108" i="1"/>
  <c r="G108" i="1"/>
  <c r="N107" i="1"/>
  <c r="M107" i="1"/>
  <c r="L107" i="1"/>
  <c r="K107" i="1"/>
  <c r="J107" i="1"/>
  <c r="I107" i="1"/>
  <c r="H107" i="1"/>
  <c r="G107" i="1"/>
  <c r="N106" i="1"/>
  <c r="M106" i="1"/>
  <c r="L106" i="1"/>
  <c r="K106" i="1"/>
  <c r="J106" i="1"/>
  <c r="I106" i="1"/>
  <c r="H106" i="1"/>
  <c r="G106" i="1"/>
  <c r="N105" i="1"/>
  <c r="M105" i="1"/>
  <c r="L105" i="1"/>
  <c r="K105" i="1"/>
  <c r="J105" i="1"/>
  <c r="I105" i="1"/>
  <c r="H105" i="1"/>
  <c r="G105" i="1"/>
  <c r="N104" i="1"/>
  <c r="M104" i="1"/>
  <c r="L104" i="1"/>
  <c r="K104" i="1"/>
  <c r="J104" i="1"/>
  <c r="I104" i="1"/>
  <c r="H104" i="1"/>
  <c r="G104" i="1"/>
  <c r="N103" i="1"/>
  <c r="M103" i="1"/>
  <c r="L103" i="1"/>
  <c r="K103" i="1"/>
  <c r="J103" i="1"/>
  <c r="I103" i="1"/>
  <c r="H103" i="1"/>
  <c r="G103" i="1"/>
  <c r="N102" i="1"/>
  <c r="M102" i="1"/>
  <c r="L102" i="1"/>
  <c r="K102" i="1"/>
  <c r="J102" i="1"/>
  <c r="I102" i="1"/>
  <c r="H102" i="1"/>
  <c r="G102" i="1"/>
  <c r="N101" i="1"/>
  <c r="M101" i="1"/>
  <c r="L101" i="1"/>
  <c r="K101" i="1"/>
  <c r="J101" i="1"/>
  <c r="I101" i="1"/>
  <c r="H101" i="1"/>
  <c r="G101" i="1"/>
  <c r="N100" i="1"/>
  <c r="M100" i="1"/>
  <c r="L100" i="1"/>
  <c r="K100" i="1"/>
  <c r="J100" i="1"/>
  <c r="I100" i="1"/>
  <c r="H100" i="1"/>
  <c r="G100" i="1"/>
  <c r="N99" i="1"/>
  <c r="M99" i="1"/>
  <c r="L99" i="1"/>
  <c r="K99" i="1"/>
  <c r="J99" i="1"/>
  <c r="I99" i="1"/>
  <c r="H99" i="1"/>
  <c r="G99" i="1"/>
  <c r="N98" i="1"/>
  <c r="M98" i="1"/>
  <c r="L98" i="1"/>
  <c r="K98" i="1"/>
  <c r="J98" i="1"/>
  <c r="I98" i="1"/>
  <c r="H98" i="1"/>
  <c r="G98" i="1"/>
  <c r="N97" i="1"/>
  <c r="M97" i="1"/>
  <c r="L97" i="1"/>
  <c r="K97" i="1"/>
  <c r="J97" i="1"/>
  <c r="I97" i="1"/>
  <c r="H97" i="1"/>
  <c r="G97" i="1"/>
  <c r="N96" i="1"/>
  <c r="M96" i="1"/>
  <c r="L96" i="1"/>
  <c r="K96" i="1"/>
  <c r="J96" i="1"/>
  <c r="I96" i="1"/>
  <c r="H96" i="1"/>
  <c r="G96" i="1"/>
  <c r="N95" i="1"/>
  <c r="M95" i="1"/>
  <c r="L95" i="1"/>
  <c r="K95" i="1"/>
  <c r="J95" i="1"/>
  <c r="I95" i="1"/>
  <c r="H95" i="1"/>
  <c r="G95" i="1"/>
  <c r="N94" i="1"/>
  <c r="M94" i="1"/>
  <c r="L94" i="1"/>
  <c r="K94" i="1"/>
  <c r="J94" i="1"/>
  <c r="I94" i="1"/>
  <c r="H94" i="1"/>
  <c r="G94" i="1"/>
  <c r="N93" i="1"/>
  <c r="M93" i="1"/>
  <c r="L93" i="1"/>
  <c r="K93" i="1"/>
  <c r="J93" i="1"/>
  <c r="I93" i="1"/>
  <c r="H93" i="1"/>
  <c r="G93" i="1"/>
  <c r="N92" i="1"/>
  <c r="M92" i="1"/>
  <c r="L92" i="1"/>
  <c r="K92" i="1"/>
  <c r="J92" i="1"/>
  <c r="I92" i="1"/>
  <c r="H92" i="1"/>
  <c r="G92" i="1"/>
  <c r="N91" i="1"/>
  <c r="M91" i="1"/>
  <c r="L91" i="1"/>
  <c r="K91" i="1"/>
  <c r="J91" i="1"/>
  <c r="I91" i="1"/>
  <c r="H91" i="1"/>
  <c r="G91" i="1"/>
  <c r="N90" i="1"/>
  <c r="M90" i="1"/>
  <c r="L90" i="1"/>
  <c r="K90" i="1"/>
  <c r="J90" i="1"/>
  <c r="I90" i="1"/>
  <c r="H90" i="1"/>
  <c r="G90" i="1"/>
  <c r="N89" i="1"/>
  <c r="M89" i="1"/>
  <c r="L89" i="1"/>
  <c r="K89" i="1"/>
  <c r="J89" i="1"/>
  <c r="I89" i="1"/>
  <c r="H89" i="1"/>
  <c r="G89" i="1"/>
  <c r="N88" i="1"/>
  <c r="M88" i="1"/>
  <c r="L88" i="1"/>
  <c r="K88" i="1"/>
  <c r="J88" i="1"/>
  <c r="I88" i="1"/>
  <c r="H88" i="1"/>
  <c r="G88" i="1"/>
  <c r="N87" i="1"/>
  <c r="M87" i="1"/>
  <c r="L87" i="1"/>
  <c r="K87" i="1"/>
  <c r="J87" i="1"/>
  <c r="I87" i="1"/>
  <c r="H87" i="1"/>
  <c r="G87" i="1"/>
  <c r="N86" i="1"/>
  <c r="M86" i="1"/>
  <c r="L86" i="1"/>
  <c r="K86" i="1"/>
  <c r="J86" i="1"/>
  <c r="I86" i="1"/>
  <c r="H86" i="1"/>
  <c r="G86" i="1"/>
  <c r="N85" i="1"/>
  <c r="M85" i="1"/>
  <c r="L85" i="1"/>
  <c r="K85" i="1"/>
  <c r="J85" i="1"/>
  <c r="I85" i="1"/>
  <c r="H85" i="1"/>
  <c r="G85" i="1"/>
  <c r="N84" i="1"/>
  <c r="M84" i="1"/>
  <c r="L84" i="1"/>
  <c r="K84" i="1"/>
  <c r="J84" i="1"/>
  <c r="I84" i="1"/>
  <c r="H84" i="1"/>
  <c r="G84" i="1"/>
  <c r="N83" i="1"/>
  <c r="M83" i="1"/>
  <c r="L83" i="1"/>
  <c r="K83" i="1"/>
  <c r="J83" i="1"/>
  <c r="I83" i="1"/>
  <c r="H83" i="1"/>
  <c r="G83" i="1"/>
  <c r="N82" i="1"/>
  <c r="M82" i="1"/>
  <c r="L82" i="1"/>
  <c r="K82" i="1"/>
  <c r="J82" i="1"/>
  <c r="I82" i="1"/>
  <c r="H82" i="1"/>
  <c r="G82" i="1"/>
  <c r="N81" i="1"/>
  <c r="M81" i="1"/>
  <c r="L81" i="1"/>
  <c r="K81" i="1"/>
  <c r="J81" i="1"/>
  <c r="I81" i="1"/>
  <c r="H81" i="1"/>
  <c r="G81" i="1"/>
  <c r="N80" i="1"/>
  <c r="M80" i="1"/>
  <c r="L80" i="1"/>
  <c r="K80" i="1"/>
  <c r="J80" i="1"/>
  <c r="I80" i="1"/>
  <c r="H80" i="1"/>
  <c r="G80" i="1"/>
  <c r="N79" i="1"/>
  <c r="M79" i="1"/>
  <c r="L79" i="1"/>
  <c r="K79" i="1"/>
  <c r="J79" i="1"/>
  <c r="I79" i="1"/>
  <c r="H79" i="1"/>
  <c r="G79" i="1"/>
  <c r="N78" i="1"/>
  <c r="M78" i="1"/>
  <c r="L78" i="1"/>
  <c r="K78" i="1"/>
  <c r="J78" i="1"/>
  <c r="I78" i="1"/>
  <c r="H78" i="1"/>
  <c r="G78" i="1"/>
  <c r="N77" i="1"/>
  <c r="M77" i="1"/>
  <c r="L77" i="1"/>
  <c r="K77" i="1"/>
  <c r="J77" i="1"/>
  <c r="I77" i="1"/>
  <c r="H77" i="1"/>
  <c r="G77" i="1"/>
  <c r="N76" i="1"/>
  <c r="M76" i="1"/>
  <c r="L76" i="1"/>
  <c r="K76" i="1"/>
  <c r="J76" i="1"/>
  <c r="I76" i="1"/>
  <c r="H76" i="1"/>
  <c r="G76" i="1"/>
  <c r="N75" i="1"/>
  <c r="M75" i="1"/>
  <c r="L75" i="1"/>
  <c r="K75" i="1"/>
  <c r="J75" i="1"/>
  <c r="I75" i="1"/>
  <c r="H75" i="1"/>
  <c r="G75" i="1"/>
  <c r="N74" i="1"/>
  <c r="M74" i="1"/>
  <c r="L74" i="1"/>
  <c r="K74" i="1"/>
  <c r="J74" i="1"/>
  <c r="I74" i="1"/>
  <c r="H74" i="1"/>
  <c r="G74" i="1"/>
  <c r="N73" i="1"/>
  <c r="M73" i="1"/>
  <c r="L73" i="1"/>
  <c r="K73" i="1"/>
  <c r="J73" i="1"/>
  <c r="I73" i="1"/>
  <c r="H73" i="1"/>
  <c r="G73" i="1"/>
  <c r="N72" i="1"/>
  <c r="M72" i="1"/>
  <c r="L72" i="1"/>
  <c r="K72" i="1"/>
  <c r="J72" i="1"/>
  <c r="I72" i="1"/>
  <c r="H72" i="1"/>
  <c r="G72" i="1"/>
  <c r="N71" i="1"/>
  <c r="M71" i="1"/>
  <c r="L71" i="1"/>
  <c r="K71" i="1"/>
  <c r="J71" i="1"/>
  <c r="I71" i="1"/>
  <c r="H71" i="1"/>
  <c r="G71" i="1"/>
  <c r="N70" i="1"/>
  <c r="M70" i="1"/>
  <c r="L70" i="1"/>
  <c r="K70" i="1"/>
  <c r="J70" i="1"/>
  <c r="I70" i="1"/>
  <c r="H70" i="1"/>
  <c r="G70" i="1"/>
  <c r="N69" i="1"/>
  <c r="M69" i="1"/>
  <c r="L69" i="1"/>
  <c r="K69" i="1"/>
  <c r="J69" i="1"/>
  <c r="I69" i="1"/>
  <c r="H69" i="1"/>
  <c r="G69" i="1"/>
  <c r="N68" i="1"/>
  <c r="M68" i="1"/>
  <c r="L68" i="1"/>
  <c r="K68" i="1"/>
  <c r="J68" i="1"/>
  <c r="I68" i="1"/>
  <c r="H68" i="1"/>
  <c r="G68" i="1"/>
  <c r="N67" i="1"/>
  <c r="M67" i="1"/>
  <c r="L67" i="1"/>
  <c r="K67" i="1"/>
  <c r="J67" i="1"/>
  <c r="I67" i="1"/>
  <c r="H67" i="1"/>
  <c r="G67" i="1"/>
  <c r="N66" i="1"/>
  <c r="M66" i="1"/>
  <c r="L66" i="1"/>
  <c r="K66" i="1"/>
  <c r="J66" i="1"/>
  <c r="I66" i="1"/>
  <c r="H66" i="1"/>
  <c r="G66" i="1"/>
  <c r="N65" i="1"/>
  <c r="M65" i="1"/>
  <c r="L65" i="1"/>
  <c r="K65" i="1"/>
  <c r="J65" i="1"/>
  <c r="I65" i="1"/>
  <c r="H65" i="1"/>
  <c r="G65" i="1"/>
  <c r="N64" i="1"/>
  <c r="M64" i="1"/>
  <c r="L64" i="1"/>
  <c r="K64" i="1"/>
  <c r="J64" i="1"/>
  <c r="I64" i="1"/>
  <c r="H64" i="1"/>
  <c r="G64" i="1"/>
  <c r="N63" i="1"/>
  <c r="M63" i="1"/>
  <c r="L63" i="1"/>
  <c r="K63" i="1"/>
  <c r="J63" i="1"/>
  <c r="I63" i="1"/>
  <c r="H63" i="1"/>
  <c r="G63" i="1"/>
  <c r="N62" i="1"/>
  <c r="M62" i="1"/>
  <c r="L62" i="1"/>
  <c r="K62" i="1"/>
  <c r="J62" i="1"/>
  <c r="I62" i="1"/>
  <c r="H62" i="1"/>
  <c r="G62" i="1"/>
  <c r="N61" i="1"/>
  <c r="M61" i="1"/>
  <c r="L61" i="1"/>
  <c r="K61" i="1"/>
  <c r="J61" i="1"/>
  <c r="I61" i="1"/>
  <c r="H61" i="1"/>
  <c r="G61" i="1"/>
  <c r="N60" i="1"/>
  <c r="M60" i="1"/>
  <c r="L60" i="1"/>
  <c r="K60" i="1"/>
  <c r="J60" i="1"/>
  <c r="I60" i="1"/>
  <c r="H60" i="1"/>
  <c r="G60" i="1"/>
  <c r="N59" i="1"/>
  <c r="M59" i="1"/>
  <c r="L59" i="1"/>
  <c r="K59" i="1"/>
  <c r="J59" i="1"/>
  <c r="I59" i="1"/>
  <c r="H59" i="1"/>
  <c r="G59" i="1"/>
  <c r="N58" i="1"/>
  <c r="M58" i="1"/>
  <c r="L58" i="1"/>
  <c r="K58" i="1"/>
  <c r="J58" i="1"/>
  <c r="I58" i="1"/>
  <c r="H58" i="1"/>
  <c r="G58" i="1"/>
  <c r="N57" i="1"/>
  <c r="M57" i="1"/>
  <c r="L57" i="1"/>
  <c r="K57" i="1"/>
  <c r="J57" i="1"/>
  <c r="I57" i="1"/>
  <c r="H57" i="1"/>
  <c r="G57" i="1"/>
  <c r="N56" i="1"/>
  <c r="M56" i="1"/>
  <c r="L56" i="1"/>
  <c r="K56" i="1"/>
  <c r="J56" i="1"/>
  <c r="I56" i="1"/>
  <c r="H56" i="1"/>
  <c r="G56" i="1"/>
  <c r="N55" i="1"/>
  <c r="M55" i="1"/>
  <c r="L55" i="1"/>
  <c r="K55" i="1"/>
  <c r="J55" i="1"/>
  <c r="I55" i="1"/>
  <c r="H55" i="1"/>
  <c r="G55" i="1"/>
  <c r="N54" i="1"/>
  <c r="M54" i="1"/>
  <c r="L54" i="1"/>
  <c r="K54" i="1"/>
  <c r="J54" i="1"/>
  <c r="I54" i="1"/>
  <c r="H54" i="1"/>
  <c r="G54" i="1"/>
  <c r="N53" i="1"/>
  <c r="M53" i="1"/>
  <c r="L53" i="1"/>
  <c r="K53" i="1"/>
  <c r="J53" i="1"/>
  <c r="I53" i="1"/>
  <c r="H53" i="1"/>
  <c r="G53" i="1"/>
  <c r="N52" i="1"/>
  <c r="M52" i="1"/>
  <c r="L52" i="1"/>
  <c r="K52" i="1"/>
  <c r="J52" i="1"/>
  <c r="I52" i="1"/>
  <c r="H52" i="1"/>
  <c r="G52" i="1"/>
  <c r="N51" i="1"/>
  <c r="M51" i="1"/>
  <c r="L51" i="1"/>
  <c r="K51" i="1"/>
  <c r="J51" i="1"/>
  <c r="I51" i="1"/>
  <c r="H51" i="1"/>
  <c r="G51" i="1"/>
  <c r="N50" i="1"/>
  <c r="M50" i="1"/>
  <c r="L50" i="1"/>
  <c r="K50" i="1"/>
  <c r="J50" i="1"/>
  <c r="I50" i="1"/>
  <c r="H50" i="1"/>
  <c r="G50" i="1"/>
  <c r="N49" i="1"/>
  <c r="M49" i="1"/>
  <c r="L49" i="1"/>
  <c r="K49" i="1"/>
  <c r="J49" i="1"/>
  <c r="I49" i="1"/>
  <c r="H49" i="1"/>
  <c r="G49" i="1"/>
  <c r="N48" i="1"/>
  <c r="M48" i="1"/>
  <c r="L48" i="1"/>
  <c r="K48" i="1"/>
  <c r="J48" i="1"/>
  <c r="I48" i="1"/>
  <c r="H48" i="1"/>
  <c r="G48" i="1"/>
  <c r="N47" i="1"/>
  <c r="M47" i="1"/>
  <c r="L47" i="1"/>
  <c r="K47" i="1"/>
  <c r="J47" i="1"/>
  <c r="I47" i="1"/>
  <c r="H47" i="1"/>
  <c r="G47" i="1"/>
  <c r="N46" i="1"/>
  <c r="M46" i="1"/>
  <c r="L46" i="1"/>
  <c r="K46" i="1"/>
  <c r="J46" i="1"/>
  <c r="I46" i="1"/>
  <c r="H46" i="1"/>
  <c r="G46" i="1"/>
  <c r="N45" i="1"/>
  <c r="M45" i="1"/>
  <c r="L45" i="1"/>
  <c r="K45" i="1"/>
  <c r="J45" i="1"/>
  <c r="I45" i="1"/>
  <c r="H45" i="1"/>
  <c r="G45" i="1"/>
  <c r="N44" i="1"/>
  <c r="M44" i="1"/>
  <c r="L44" i="1"/>
  <c r="K44" i="1"/>
  <c r="J44" i="1"/>
  <c r="I44" i="1"/>
  <c r="H44" i="1"/>
  <c r="G44" i="1"/>
  <c r="N43" i="1"/>
  <c r="M43" i="1"/>
  <c r="L43" i="1"/>
  <c r="K43" i="1"/>
  <c r="J43" i="1"/>
  <c r="I43" i="1"/>
  <c r="H43" i="1"/>
  <c r="G43" i="1"/>
  <c r="N42" i="1"/>
  <c r="M42" i="1"/>
  <c r="L42" i="1"/>
  <c r="K42" i="1"/>
  <c r="J42" i="1"/>
  <c r="I42" i="1"/>
  <c r="H42" i="1"/>
  <c r="G42" i="1"/>
  <c r="N41" i="1"/>
  <c r="M41" i="1"/>
  <c r="L41" i="1"/>
  <c r="K41" i="1"/>
  <c r="J41" i="1"/>
  <c r="I41" i="1"/>
  <c r="H41" i="1"/>
  <c r="G41" i="1"/>
  <c r="N40" i="1"/>
  <c r="M40" i="1"/>
  <c r="L40" i="1"/>
  <c r="K40" i="1"/>
  <c r="J40" i="1"/>
  <c r="I40" i="1"/>
  <c r="H40" i="1"/>
  <c r="G40" i="1"/>
  <c r="N39" i="1"/>
  <c r="M39" i="1"/>
  <c r="L39" i="1"/>
  <c r="K39" i="1"/>
  <c r="J39" i="1"/>
  <c r="I39" i="1"/>
  <c r="H39" i="1"/>
  <c r="G39" i="1"/>
  <c r="N38" i="1"/>
  <c r="M38" i="1"/>
  <c r="L38" i="1"/>
  <c r="K38" i="1"/>
  <c r="J38" i="1"/>
  <c r="I38" i="1"/>
  <c r="H38" i="1"/>
  <c r="G38" i="1"/>
  <c r="N37" i="1"/>
  <c r="M37" i="1"/>
  <c r="L37" i="1"/>
  <c r="K37" i="1"/>
  <c r="J37" i="1"/>
  <c r="I37" i="1"/>
  <c r="H37" i="1"/>
  <c r="G37" i="1"/>
  <c r="N36" i="1"/>
  <c r="M36" i="1"/>
  <c r="L36" i="1"/>
  <c r="K36" i="1"/>
  <c r="J36" i="1"/>
  <c r="I36" i="1"/>
  <c r="H36" i="1"/>
  <c r="G36" i="1"/>
  <c r="N35" i="1"/>
  <c r="M35" i="1"/>
  <c r="L35" i="1"/>
  <c r="K35" i="1"/>
  <c r="J35" i="1"/>
  <c r="I35" i="1"/>
  <c r="H35" i="1"/>
  <c r="G35" i="1"/>
  <c r="N34" i="1"/>
  <c r="M34" i="1"/>
  <c r="L34" i="1"/>
  <c r="K34" i="1"/>
  <c r="J34" i="1"/>
  <c r="I34" i="1"/>
  <c r="H34" i="1"/>
  <c r="G34" i="1"/>
  <c r="N33" i="1"/>
  <c r="M33" i="1"/>
  <c r="L33" i="1"/>
  <c r="K33" i="1"/>
  <c r="J33" i="1"/>
  <c r="I33" i="1"/>
  <c r="H33" i="1"/>
  <c r="G33" i="1"/>
  <c r="N32" i="1"/>
  <c r="M32" i="1"/>
  <c r="L32" i="1"/>
  <c r="K32" i="1"/>
  <c r="J32" i="1"/>
  <c r="I32" i="1"/>
  <c r="H32" i="1"/>
  <c r="G32" i="1"/>
  <c r="N31" i="1"/>
  <c r="M31" i="1"/>
  <c r="L31" i="1"/>
  <c r="K31" i="1"/>
  <c r="J31" i="1"/>
  <c r="I31" i="1"/>
  <c r="H31" i="1"/>
  <c r="G31" i="1"/>
  <c r="N30" i="1"/>
  <c r="M30" i="1"/>
  <c r="L30" i="1"/>
  <c r="K30" i="1"/>
  <c r="J30" i="1"/>
  <c r="I30" i="1"/>
  <c r="H30" i="1"/>
  <c r="G30" i="1"/>
  <c r="N29" i="1"/>
  <c r="M29" i="1"/>
  <c r="L29" i="1"/>
  <c r="K29" i="1"/>
  <c r="J29" i="1"/>
  <c r="I29" i="1"/>
  <c r="H29" i="1"/>
  <c r="G29" i="1"/>
  <c r="N28" i="1"/>
  <c r="M28" i="1"/>
  <c r="L28" i="1"/>
  <c r="K28" i="1"/>
  <c r="J28" i="1"/>
  <c r="I28" i="1"/>
  <c r="H28" i="1"/>
  <c r="G28" i="1"/>
  <c r="N27" i="1"/>
  <c r="M27" i="1"/>
  <c r="L27" i="1"/>
  <c r="K27" i="1"/>
  <c r="J27" i="1"/>
  <c r="I27" i="1"/>
  <c r="H27" i="1"/>
  <c r="G27" i="1"/>
  <c r="N26" i="1"/>
  <c r="M26" i="1"/>
  <c r="L26" i="1"/>
  <c r="K26" i="1"/>
  <c r="J26" i="1"/>
  <c r="I26" i="1"/>
  <c r="H26" i="1"/>
  <c r="G26" i="1"/>
  <c r="N25" i="1"/>
  <c r="M25" i="1"/>
  <c r="L25" i="1"/>
  <c r="K25" i="1"/>
  <c r="J25" i="1"/>
  <c r="I25" i="1"/>
  <c r="H25" i="1"/>
  <c r="G25" i="1"/>
  <c r="N24" i="1"/>
  <c r="M24" i="1"/>
  <c r="L24" i="1"/>
  <c r="K24" i="1"/>
  <c r="J24" i="1"/>
  <c r="I24" i="1"/>
  <c r="H24" i="1"/>
  <c r="G24" i="1"/>
  <c r="N23" i="1"/>
  <c r="M23" i="1"/>
  <c r="L23" i="1"/>
  <c r="K23" i="1"/>
  <c r="J23" i="1"/>
  <c r="I23" i="1"/>
  <c r="H23" i="1"/>
  <c r="G23" i="1"/>
  <c r="N22" i="1"/>
  <c r="M22" i="1"/>
  <c r="L22" i="1"/>
  <c r="K22" i="1"/>
  <c r="J22" i="1"/>
  <c r="I22" i="1"/>
  <c r="H22" i="1"/>
  <c r="G22" i="1"/>
  <c r="N21" i="1"/>
  <c r="M21" i="1"/>
  <c r="L21" i="1"/>
  <c r="K21" i="1"/>
  <c r="J21" i="1"/>
  <c r="I21" i="1"/>
  <c r="H21" i="1"/>
  <c r="G21" i="1"/>
  <c r="N20" i="1"/>
  <c r="M20" i="1"/>
  <c r="L20" i="1"/>
  <c r="K20" i="1"/>
  <c r="J20" i="1"/>
  <c r="I20" i="1"/>
  <c r="H20" i="1"/>
  <c r="G20" i="1"/>
  <c r="N19" i="1"/>
  <c r="M19" i="1"/>
  <c r="L19" i="1"/>
  <c r="K19" i="1"/>
  <c r="J19" i="1"/>
  <c r="I19" i="1"/>
  <c r="H19" i="1"/>
  <c r="G19" i="1"/>
  <c r="N18" i="1"/>
  <c r="M18" i="1"/>
  <c r="L18" i="1"/>
  <c r="K18" i="1"/>
  <c r="J18" i="1"/>
  <c r="I18" i="1"/>
  <c r="H18" i="1"/>
  <c r="G18" i="1"/>
  <c r="N17" i="1"/>
  <c r="M17" i="1"/>
  <c r="L17" i="1"/>
  <c r="K17" i="1"/>
  <c r="J17" i="1"/>
  <c r="I17" i="1"/>
  <c r="H17" i="1"/>
  <c r="G17" i="1"/>
  <c r="N16" i="1"/>
  <c r="M16" i="1"/>
  <c r="L16" i="1"/>
  <c r="K16" i="1"/>
  <c r="J16" i="1"/>
  <c r="I16" i="1"/>
  <c r="H16" i="1"/>
  <c r="G16" i="1"/>
  <c r="N15" i="1"/>
  <c r="M15" i="1"/>
  <c r="L15" i="1"/>
  <c r="K15" i="1"/>
  <c r="J15" i="1"/>
  <c r="I15" i="1"/>
  <c r="H15" i="1"/>
  <c r="G15" i="1"/>
  <c r="N14" i="1"/>
  <c r="M14" i="1"/>
  <c r="L14" i="1"/>
  <c r="K14" i="1"/>
  <c r="J14" i="1"/>
  <c r="I14" i="1"/>
  <c r="H14" i="1"/>
  <c r="G14" i="1"/>
  <c r="N13" i="1"/>
  <c r="M13" i="1"/>
  <c r="L13" i="1"/>
  <c r="K13" i="1"/>
  <c r="J13" i="1"/>
  <c r="I13" i="1"/>
  <c r="H13" i="1"/>
  <c r="G13" i="1"/>
  <c r="N12" i="1"/>
  <c r="M12" i="1"/>
  <c r="L12" i="1"/>
  <c r="K12" i="1"/>
  <c r="J12" i="1"/>
  <c r="I12" i="1"/>
  <c r="H12" i="1"/>
  <c r="G12" i="1"/>
  <c r="N11" i="1"/>
  <c r="M11" i="1"/>
  <c r="L11" i="1"/>
  <c r="K11" i="1"/>
  <c r="J11" i="1"/>
  <c r="I11" i="1"/>
  <c r="H11" i="1"/>
  <c r="G11" i="1"/>
  <c r="N10" i="1"/>
  <c r="M10" i="1"/>
  <c r="L10" i="1"/>
  <c r="K10" i="1"/>
  <c r="J10" i="1"/>
  <c r="I10" i="1"/>
  <c r="H10" i="1"/>
  <c r="G10" i="1"/>
  <c r="N9" i="1"/>
  <c r="M9" i="1"/>
  <c r="L9" i="1"/>
  <c r="K9" i="1"/>
  <c r="J9" i="1"/>
  <c r="I9" i="1"/>
  <c r="H9" i="1"/>
  <c r="G9" i="1"/>
  <c r="N8" i="1"/>
  <c r="M8" i="1"/>
  <c r="L8" i="1"/>
  <c r="K8" i="1"/>
  <c r="J8" i="1"/>
  <c r="I8" i="1"/>
  <c r="H8" i="1"/>
  <c r="G8" i="1"/>
  <c r="N7" i="1"/>
  <c r="M7" i="1"/>
  <c r="L7" i="1"/>
  <c r="K7" i="1"/>
  <c r="J7" i="1"/>
  <c r="I7" i="1"/>
  <c r="H7" i="1"/>
  <c r="G7" i="1"/>
  <c r="N6" i="1"/>
  <c r="M6" i="1"/>
  <c r="L6" i="1"/>
  <c r="K6" i="1"/>
  <c r="J6" i="1"/>
  <c r="I6" i="1"/>
  <c r="H6" i="1"/>
  <c r="G6" i="1"/>
  <c r="N5" i="1"/>
  <c r="M5" i="1"/>
  <c r="L5" i="1"/>
  <c r="K5" i="1"/>
  <c r="J5" i="1"/>
  <c r="I5" i="1"/>
  <c r="H5" i="1"/>
  <c r="G5" i="1"/>
  <c r="N4" i="1"/>
  <c r="M4" i="1"/>
  <c r="L4" i="1"/>
  <c r="K4" i="1"/>
  <c r="J4" i="1"/>
  <c r="I4" i="1"/>
  <c r="H4" i="1"/>
  <c r="G4" i="1"/>
  <c r="N3" i="1"/>
  <c r="M3" i="1"/>
  <c r="L3" i="1"/>
  <c r="K3" i="1"/>
  <c r="J3" i="1"/>
  <c r="I3" i="1"/>
  <c r="H3" i="1"/>
  <c r="G3" i="1"/>
  <c r="N2" i="1"/>
  <c r="M2" i="1"/>
  <c r="L2" i="1"/>
  <c r="K2" i="1"/>
  <c r="J2" i="1"/>
  <c r="I2" i="1"/>
  <c r="H2" i="1"/>
  <c r="G2" i="1"/>
  <c r="I5" i="5"/>
  <c r="G5" i="5"/>
  <c r="E5" i="5"/>
  <c r="C5" i="5"/>
  <c r="A5" i="5"/>
</calcChain>
</file>

<file path=xl/sharedStrings.xml><?xml version="1.0" encoding="utf-8"?>
<sst xmlns="http://schemas.openxmlformats.org/spreadsheetml/2006/main" count="1031" uniqueCount="528">
  <si>
    <t>student_id</t>
  </si>
  <si>
    <t>gender</t>
  </si>
  <si>
    <t>age</t>
  </si>
  <si>
    <t>attendance_rate</t>
  </si>
  <si>
    <t>previous_score</t>
  </si>
  <si>
    <t>final_score</t>
  </si>
  <si>
    <t>STU0001</t>
  </si>
  <si>
    <t>Male</t>
  </si>
  <si>
    <t>STU0002</t>
  </si>
  <si>
    <t>Female</t>
  </si>
  <si>
    <t>STU0003</t>
  </si>
  <si>
    <t>STU0004</t>
  </si>
  <si>
    <t>STU0005</t>
  </si>
  <si>
    <t>STU0006</t>
  </si>
  <si>
    <t>STU0007</t>
  </si>
  <si>
    <t>STU0008</t>
  </si>
  <si>
    <t>STU0009</t>
  </si>
  <si>
    <t>STU0010</t>
  </si>
  <si>
    <t>STU0011</t>
  </si>
  <si>
    <t>STU0012</t>
  </si>
  <si>
    <t>STU0013</t>
  </si>
  <si>
    <t>STU0014</t>
  </si>
  <si>
    <t>STU0015</t>
  </si>
  <si>
    <t>STU0016</t>
  </si>
  <si>
    <t>STU0017</t>
  </si>
  <si>
    <t>STU0018</t>
  </si>
  <si>
    <t>STU0019</t>
  </si>
  <si>
    <t>STU0020</t>
  </si>
  <si>
    <t>STU0021</t>
  </si>
  <si>
    <t>STU0022</t>
  </si>
  <si>
    <t>STU0023</t>
  </si>
  <si>
    <t>STU0024</t>
  </si>
  <si>
    <t>STU0025</t>
  </si>
  <si>
    <t>STU0026</t>
  </si>
  <si>
    <t>STU0027</t>
  </si>
  <si>
    <t>STU0028</t>
  </si>
  <si>
    <t>STU0029</t>
  </si>
  <si>
    <t>STU0030</t>
  </si>
  <si>
    <t>STU0031</t>
  </si>
  <si>
    <t>STU0032</t>
  </si>
  <si>
    <t>STU0033</t>
  </si>
  <si>
    <t>STU0034</t>
  </si>
  <si>
    <t>STU0035</t>
  </si>
  <si>
    <t>STU0036</t>
  </si>
  <si>
    <t>STU0037</t>
  </si>
  <si>
    <t>STU0038</t>
  </si>
  <si>
    <t>STU0039</t>
  </si>
  <si>
    <t>STU0040</t>
  </si>
  <si>
    <t>STU0041</t>
  </si>
  <si>
    <t>STU0042</t>
  </si>
  <si>
    <t>STU0043</t>
  </si>
  <si>
    <t>STU0044</t>
  </si>
  <si>
    <t>STU0045</t>
  </si>
  <si>
    <t>STU0046</t>
  </si>
  <si>
    <t>STU0047</t>
  </si>
  <si>
    <t>STU0048</t>
  </si>
  <si>
    <t>STU0049</t>
  </si>
  <si>
    <t>STU0050</t>
  </si>
  <si>
    <t>STU0051</t>
  </si>
  <si>
    <t>STU0052</t>
  </si>
  <si>
    <t>STU0053</t>
  </si>
  <si>
    <t>STU0054</t>
  </si>
  <si>
    <t>STU0055</t>
  </si>
  <si>
    <t>STU0056</t>
  </si>
  <si>
    <t>STU0057</t>
  </si>
  <si>
    <t>STU0058</t>
  </si>
  <si>
    <t>STU0059</t>
  </si>
  <si>
    <t>STU0060</t>
  </si>
  <si>
    <t>STU0061</t>
  </si>
  <si>
    <t>STU0062</t>
  </si>
  <si>
    <t>STU0063</t>
  </si>
  <si>
    <t>STU0064</t>
  </si>
  <si>
    <t>STU0065</t>
  </si>
  <si>
    <t>STU0066</t>
  </si>
  <si>
    <t>STU0067</t>
  </si>
  <si>
    <t>STU0068</t>
  </si>
  <si>
    <t>STU0069</t>
  </si>
  <si>
    <t>STU0070</t>
  </si>
  <si>
    <t>STU0071</t>
  </si>
  <si>
    <t>STU0072</t>
  </si>
  <si>
    <t>STU0073</t>
  </si>
  <si>
    <t>STU0074</t>
  </si>
  <si>
    <t>STU0075</t>
  </si>
  <si>
    <t>STU0076</t>
  </si>
  <si>
    <t>STU0077</t>
  </si>
  <si>
    <t>STU0078</t>
  </si>
  <si>
    <t>STU0079</t>
  </si>
  <si>
    <t>STU0080</t>
  </si>
  <si>
    <t>STU0081</t>
  </si>
  <si>
    <t>STU0082</t>
  </si>
  <si>
    <t>STU0083</t>
  </si>
  <si>
    <t>STU0084</t>
  </si>
  <si>
    <t>STU0085</t>
  </si>
  <si>
    <t>STU0086</t>
  </si>
  <si>
    <t>STU0087</t>
  </si>
  <si>
    <t>STU0088</t>
  </si>
  <si>
    <t>STU0089</t>
  </si>
  <si>
    <t>STU0090</t>
  </si>
  <si>
    <t>STU0091</t>
  </si>
  <si>
    <t>STU0092</t>
  </si>
  <si>
    <t>STU0093</t>
  </si>
  <si>
    <t>STU0094</t>
  </si>
  <si>
    <t>STU0095</t>
  </si>
  <si>
    <t>STU0096</t>
  </si>
  <si>
    <t>STU0097</t>
  </si>
  <si>
    <t>STU0098</t>
  </si>
  <si>
    <t>STU0099</t>
  </si>
  <si>
    <t>STU0100</t>
  </si>
  <si>
    <t>STU0101</t>
  </si>
  <si>
    <t>STU0102</t>
  </si>
  <si>
    <t>STU0103</t>
  </si>
  <si>
    <t>STU0104</t>
  </si>
  <si>
    <t>STU0105</t>
  </si>
  <si>
    <t>STU0106</t>
  </si>
  <si>
    <t>STU0107</t>
  </si>
  <si>
    <t>STU0108</t>
  </si>
  <si>
    <t>STU0109</t>
  </si>
  <si>
    <t>STU0110</t>
  </si>
  <si>
    <t>STU0111</t>
  </si>
  <si>
    <t>STU0112</t>
  </si>
  <si>
    <t>STU0113</t>
  </si>
  <si>
    <t>STU0114</t>
  </si>
  <si>
    <t>STU0115</t>
  </si>
  <si>
    <t>STU0116</t>
  </si>
  <si>
    <t>STU0117</t>
  </si>
  <si>
    <t>STU0118</t>
  </si>
  <si>
    <t>STU0119</t>
  </si>
  <si>
    <t>STU0120</t>
  </si>
  <si>
    <t>STU0121</t>
  </si>
  <si>
    <t>STU0122</t>
  </si>
  <si>
    <t>STU0123</t>
  </si>
  <si>
    <t>STU0124</t>
  </si>
  <si>
    <t>STU0125</t>
  </si>
  <si>
    <t>STU0126</t>
  </si>
  <si>
    <t>STU0127</t>
  </si>
  <si>
    <t>STU0128</t>
  </si>
  <si>
    <t>STU0129</t>
  </si>
  <si>
    <t>STU0130</t>
  </si>
  <si>
    <t>STU0131</t>
  </si>
  <si>
    <t>STU0132</t>
  </si>
  <si>
    <t>STU0133</t>
  </si>
  <si>
    <t>STU0134</t>
  </si>
  <si>
    <t>STU0135</t>
  </si>
  <si>
    <t>STU0136</t>
  </si>
  <si>
    <t>STU0137</t>
  </si>
  <si>
    <t>STU0138</t>
  </si>
  <si>
    <t>STU0139</t>
  </si>
  <si>
    <t>STU0140</t>
  </si>
  <si>
    <t>STU0141</t>
  </si>
  <si>
    <t>STU0142</t>
  </si>
  <si>
    <t>STU0143</t>
  </si>
  <si>
    <t>STU0144</t>
  </si>
  <si>
    <t>STU0145</t>
  </si>
  <si>
    <t>STU0146</t>
  </si>
  <si>
    <t>STU0147</t>
  </si>
  <si>
    <t>STU0148</t>
  </si>
  <si>
    <t>STU0149</t>
  </si>
  <si>
    <t>STU0150</t>
  </si>
  <si>
    <t>STU0151</t>
  </si>
  <si>
    <t>STU0152</t>
  </si>
  <si>
    <t>STU0153</t>
  </si>
  <si>
    <t>STU0154</t>
  </si>
  <si>
    <t>STU0155</t>
  </si>
  <si>
    <t>STU0156</t>
  </si>
  <si>
    <t>STU0157</t>
  </si>
  <si>
    <t>STU0158</t>
  </si>
  <si>
    <t>STU0159</t>
  </si>
  <si>
    <t>STU0160</t>
  </si>
  <si>
    <t>STU0161</t>
  </si>
  <si>
    <t>STU0162</t>
  </si>
  <si>
    <t>STU0163</t>
  </si>
  <si>
    <t>STU0164</t>
  </si>
  <si>
    <t>STU0165</t>
  </si>
  <si>
    <t>STU0166</t>
  </si>
  <si>
    <t>STU0167</t>
  </si>
  <si>
    <t>STU0168</t>
  </si>
  <si>
    <t>STU0169</t>
  </si>
  <si>
    <t>STU0170</t>
  </si>
  <si>
    <t>STU0171</t>
  </si>
  <si>
    <t>STU0172</t>
  </si>
  <si>
    <t>STU0173</t>
  </si>
  <si>
    <t>STU0174</t>
  </si>
  <si>
    <t>STU0175</t>
  </si>
  <si>
    <t>STU0176</t>
  </si>
  <si>
    <t>STU0177</t>
  </si>
  <si>
    <t>STU0178</t>
  </si>
  <si>
    <t>STU0179</t>
  </si>
  <si>
    <t>STU0180</t>
  </si>
  <si>
    <t>STU0181</t>
  </si>
  <si>
    <t>STU0182</t>
  </si>
  <si>
    <t>STU0183</t>
  </si>
  <si>
    <t>STU0184</t>
  </si>
  <si>
    <t>STU0185</t>
  </si>
  <si>
    <t>STU0186</t>
  </si>
  <si>
    <t>STU0187</t>
  </si>
  <si>
    <t>STU0188</t>
  </si>
  <si>
    <t>STU0189</t>
  </si>
  <si>
    <t>STU0190</t>
  </si>
  <si>
    <t>STU0191</t>
  </si>
  <si>
    <t>STU0192</t>
  </si>
  <si>
    <t>STU0193</t>
  </si>
  <si>
    <t>STU0194</t>
  </si>
  <si>
    <t>STU0195</t>
  </si>
  <si>
    <t>STU0196</t>
  </si>
  <si>
    <t>STU0197</t>
  </si>
  <si>
    <t>STU0198</t>
  </si>
  <si>
    <t>STU0199</t>
  </si>
  <si>
    <t>STU0200</t>
  </si>
  <si>
    <t>STU0201</t>
  </si>
  <si>
    <t>STU0202</t>
  </si>
  <si>
    <t>STU0203</t>
  </si>
  <si>
    <t>STU0204</t>
  </si>
  <si>
    <t>STU0205</t>
  </si>
  <si>
    <t>STU0206</t>
  </si>
  <si>
    <t>STU0207</t>
  </si>
  <si>
    <t>STU0208</t>
  </si>
  <si>
    <t>STU0209</t>
  </si>
  <si>
    <t>STU0210</t>
  </si>
  <si>
    <t>STU0211</t>
  </si>
  <si>
    <t>STU0212</t>
  </si>
  <si>
    <t>STU0213</t>
  </si>
  <si>
    <t>STU0214</t>
  </si>
  <si>
    <t>STU0215</t>
  </si>
  <si>
    <t>STU0216</t>
  </si>
  <si>
    <t>STU0217</t>
  </si>
  <si>
    <t>STU0218</t>
  </si>
  <si>
    <t>STU0219</t>
  </si>
  <si>
    <t>STU0220</t>
  </si>
  <si>
    <t>STU0221</t>
  </si>
  <si>
    <t>STU0222</t>
  </si>
  <si>
    <t>STU0223</t>
  </si>
  <si>
    <t>STU0224</t>
  </si>
  <si>
    <t>STU0225</t>
  </si>
  <si>
    <t>STU0226</t>
  </si>
  <si>
    <t>STU0227</t>
  </si>
  <si>
    <t>STU0228</t>
  </si>
  <si>
    <t>STU0229</t>
  </si>
  <si>
    <t>STU0230</t>
  </si>
  <si>
    <t>STU0231</t>
  </si>
  <si>
    <t>STU0232</t>
  </si>
  <si>
    <t>STU0233</t>
  </si>
  <si>
    <t>STU0234</t>
  </si>
  <si>
    <t>STU0235</t>
  </si>
  <si>
    <t>STU0236</t>
  </si>
  <si>
    <t>STU0237</t>
  </si>
  <si>
    <t>STU0238</t>
  </si>
  <si>
    <t>STU0239</t>
  </si>
  <si>
    <t>STU0240</t>
  </si>
  <si>
    <t>STU0241</t>
  </si>
  <si>
    <t>STU0242</t>
  </si>
  <si>
    <t>STU0243</t>
  </si>
  <si>
    <t>STU0244</t>
  </si>
  <si>
    <t>STU0245</t>
  </si>
  <si>
    <t>STU0246</t>
  </si>
  <si>
    <t>STU0247</t>
  </si>
  <si>
    <t>STU0248</t>
  </si>
  <si>
    <t>STU0249</t>
  </si>
  <si>
    <t>STU0250</t>
  </si>
  <si>
    <t>STU0251</t>
  </si>
  <si>
    <t>STU0252</t>
  </si>
  <si>
    <t>STU0253</t>
  </si>
  <si>
    <t>STU0254</t>
  </si>
  <si>
    <t>STU0255</t>
  </si>
  <si>
    <t>STU0256</t>
  </si>
  <si>
    <t>STU0257</t>
  </si>
  <si>
    <t>STU0258</t>
  </si>
  <si>
    <t>STU0259</t>
  </si>
  <si>
    <t>STU0260</t>
  </si>
  <si>
    <t>STU0261</t>
  </si>
  <si>
    <t>STU0262</t>
  </si>
  <si>
    <t>STU0263</t>
  </si>
  <si>
    <t>STU0264</t>
  </si>
  <si>
    <t>STU0265</t>
  </si>
  <si>
    <t>STU0266</t>
  </si>
  <si>
    <t>STU0267</t>
  </si>
  <si>
    <t>STU0268</t>
  </si>
  <si>
    <t>STU0269</t>
  </si>
  <si>
    <t>STU0270</t>
  </si>
  <si>
    <t>STU0271</t>
  </si>
  <si>
    <t>STU0272</t>
  </si>
  <si>
    <t>STU0273</t>
  </si>
  <si>
    <t>STU0274</t>
  </si>
  <si>
    <t>STU0275</t>
  </si>
  <si>
    <t>STU0276</t>
  </si>
  <si>
    <t>STU0277</t>
  </si>
  <si>
    <t>STU0278</t>
  </si>
  <si>
    <t>STU0279</t>
  </si>
  <si>
    <t>STU0280</t>
  </si>
  <si>
    <t>STU0281</t>
  </si>
  <si>
    <t>STU0282</t>
  </si>
  <si>
    <t>STU0283</t>
  </si>
  <si>
    <t>STU0284</t>
  </si>
  <si>
    <t>STU0285</t>
  </si>
  <si>
    <t>STU0286</t>
  </si>
  <si>
    <t>STU0287</t>
  </si>
  <si>
    <t>STU0288</t>
  </si>
  <si>
    <t>STU0289</t>
  </si>
  <si>
    <t>STU0290</t>
  </si>
  <si>
    <t>STU0291</t>
  </si>
  <si>
    <t>STU0292</t>
  </si>
  <si>
    <t>STU0293</t>
  </si>
  <si>
    <t>STU0294</t>
  </si>
  <si>
    <t>STU0295</t>
  </si>
  <si>
    <t>STU0296</t>
  </si>
  <si>
    <t>STU0297</t>
  </si>
  <si>
    <t>STU0298</t>
  </si>
  <si>
    <t>STU0299</t>
  </si>
  <si>
    <t>STU0300</t>
  </si>
  <si>
    <t>STU0301</t>
  </si>
  <si>
    <t>STU0302</t>
  </si>
  <si>
    <t>STU0303</t>
  </si>
  <si>
    <t>STU0304</t>
  </si>
  <si>
    <t>STU0305</t>
  </si>
  <si>
    <t>STU0306</t>
  </si>
  <si>
    <t>STU0307</t>
  </si>
  <si>
    <t>STU0308</t>
  </si>
  <si>
    <t>STU0309</t>
  </si>
  <si>
    <t>STU0310</t>
  </si>
  <si>
    <t>STU0311</t>
  </si>
  <si>
    <t>STU0312</t>
  </si>
  <si>
    <t>STU0313</t>
  </si>
  <si>
    <t>STU0314</t>
  </si>
  <si>
    <t>STU0315</t>
  </si>
  <si>
    <t>STU0316</t>
  </si>
  <si>
    <t>STU0317</t>
  </si>
  <si>
    <t>STU0318</t>
  </si>
  <si>
    <t>STU0319</t>
  </si>
  <si>
    <t>STU0320</t>
  </si>
  <si>
    <t>STU0321</t>
  </si>
  <si>
    <t>STU0322</t>
  </si>
  <si>
    <t>STU0323</t>
  </si>
  <si>
    <t>STU0324</t>
  </si>
  <si>
    <t>STU0325</t>
  </si>
  <si>
    <t>STU0326</t>
  </si>
  <si>
    <t>STU0327</t>
  </si>
  <si>
    <t>STU0328</t>
  </si>
  <si>
    <t>STU0329</t>
  </si>
  <si>
    <t>STU0330</t>
  </si>
  <si>
    <t>STU0331</t>
  </si>
  <si>
    <t>STU0332</t>
  </si>
  <si>
    <t>STU0333</t>
  </si>
  <si>
    <t>STU0334</t>
  </si>
  <si>
    <t>STU0335</t>
  </si>
  <si>
    <t>STU0336</t>
  </si>
  <si>
    <t>STU0337</t>
  </si>
  <si>
    <t>STU0338</t>
  </si>
  <si>
    <t>STU0339</t>
  </si>
  <si>
    <t>STU0340</t>
  </si>
  <si>
    <t>STU0341</t>
  </si>
  <si>
    <t>STU0342</t>
  </si>
  <si>
    <t>STU0343</t>
  </si>
  <si>
    <t>STU0344</t>
  </si>
  <si>
    <t>STU0345</t>
  </si>
  <si>
    <t>STU0346</t>
  </si>
  <si>
    <t>STU0347</t>
  </si>
  <si>
    <t>STU0348</t>
  </si>
  <si>
    <t>STU0349</t>
  </si>
  <si>
    <t>STU0350</t>
  </si>
  <si>
    <t>STU0351</t>
  </si>
  <si>
    <t>STU0352</t>
  </si>
  <si>
    <t>STU0353</t>
  </si>
  <si>
    <t>STU0354</t>
  </si>
  <si>
    <t>STU0355</t>
  </si>
  <si>
    <t>STU0356</t>
  </si>
  <si>
    <t>STU0357</t>
  </si>
  <si>
    <t>STU0358</t>
  </si>
  <si>
    <t>STU0359</t>
  </si>
  <si>
    <t>STU0360</t>
  </si>
  <si>
    <t>STU0361</t>
  </si>
  <si>
    <t>STU0362</t>
  </si>
  <si>
    <t>STU0363</t>
  </si>
  <si>
    <t>STU0364</t>
  </si>
  <si>
    <t>STU0365</t>
  </si>
  <si>
    <t>STU0366</t>
  </si>
  <si>
    <t>STU0367</t>
  </si>
  <si>
    <t>STU0368</t>
  </si>
  <si>
    <t>STU0369</t>
  </si>
  <si>
    <t>STU0370</t>
  </si>
  <si>
    <t>STU0371</t>
  </si>
  <si>
    <t>STU0372</t>
  </si>
  <si>
    <t>STU0373</t>
  </si>
  <si>
    <t>STU0374</t>
  </si>
  <si>
    <t>STU0375</t>
  </si>
  <si>
    <t>STU0376</t>
  </si>
  <si>
    <t>STU0377</t>
  </si>
  <si>
    <t>STU0378</t>
  </si>
  <si>
    <t>STU0379</t>
  </si>
  <si>
    <t>STU0380</t>
  </si>
  <si>
    <t>STU0381</t>
  </si>
  <si>
    <t>STU0382</t>
  </si>
  <si>
    <t>STU0383</t>
  </si>
  <si>
    <t>STU0384</t>
  </si>
  <si>
    <t>STU0385</t>
  </si>
  <si>
    <t>STU0386</t>
  </si>
  <si>
    <t>STU0387</t>
  </si>
  <si>
    <t>STU0388</t>
  </si>
  <si>
    <t>STU0389</t>
  </si>
  <si>
    <t>STU0390</t>
  </si>
  <si>
    <t>STU0391</t>
  </si>
  <si>
    <t>STU0392</t>
  </si>
  <si>
    <t>STU0393</t>
  </si>
  <si>
    <t>STU0394</t>
  </si>
  <si>
    <t>STU0395</t>
  </si>
  <si>
    <t>STU0396</t>
  </si>
  <si>
    <t>STU0397</t>
  </si>
  <si>
    <t>STU0398</t>
  </si>
  <si>
    <t>STU0399</t>
  </si>
  <si>
    <t>STU0400</t>
  </si>
  <si>
    <t>STU0401</t>
  </si>
  <si>
    <t>STU0402</t>
  </si>
  <si>
    <t>STU0403</t>
  </si>
  <si>
    <t>STU0404</t>
  </si>
  <si>
    <t>STU0405</t>
  </si>
  <si>
    <t>STU0406</t>
  </si>
  <si>
    <t>STU0407</t>
  </si>
  <si>
    <t>STU0408</t>
  </si>
  <si>
    <t>STU0409</t>
  </si>
  <si>
    <t>STU0410</t>
  </si>
  <si>
    <t>STU0411</t>
  </si>
  <si>
    <t>STU0412</t>
  </si>
  <si>
    <t>STU0413</t>
  </si>
  <si>
    <t>STU0414</t>
  </si>
  <si>
    <t>STU0415</t>
  </si>
  <si>
    <t>STU0416</t>
  </si>
  <si>
    <t>STU0417</t>
  </si>
  <si>
    <t>STU0418</t>
  </si>
  <si>
    <t>STU0419</t>
  </si>
  <si>
    <t>STU0420</t>
  </si>
  <si>
    <t>STU0421</t>
  </si>
  <si>
    <t>STU0422</t>
  </si>
  <si>
    <t>STU0423</t>
  </si>
  <si>
    <t>STU0424</t>
  </si>
  <si>
    <t>STU0425</t>
  </si>
  <si>
    <t>STU0426</t>
  </si>
  <si>
    <t>STU0427</t>
  </si>
  <si>
    <t>STU0428</t>
  </si>
  <si>
    <t>STU0429</t>
  </si>
  <si>
    <t>STU0430</t>
  </si>
  <si>
    <t>STU0431</t>
  </si>
  <si>
    <t>STU0432</t>
  </si>
  <si>
    <t>STU0433</t>
  </si>
  <si>
    <t>STU0434</t>
  </si>
  <si>
    <t>STU0435</t>
  </si>
  <si>
    <t>STU0436</t>
  </si>
  <si>
    <t>STU0437</t>
  </si>
  <si>
    <t>STU0438</t>
  </si>
  <si>
    <t>STU0439</t>
  </si>
  <si>
    <t>STU0440</t>
  </si>
  <si>
    <t>STU0441</t>
  </si>
  <si>
    <t>STU0442</t>
  </si>
  <si>
    <t>STU0443</t>
  </si>
  <si>
    <t>STU0444</t>
  </si>
  <si>
    <t>STU0445</t>
  </si>
  <si>
    <t>STU0446</t>
  </si>
  <si>
    <t>STU0447</t>
  </si>
  <si>
    <t>STU0448</t>
  </si>
  <si>
    <t>STU0449</t>
  </si>
  <si>
    <t>STU0450</t>
  </si>
  <si>
    <t>STU0451</t>
  </si>
  <si>
    <t>STU0452</t>
  </si>
  <si>
    <t>STU0453</t>
  </si>
  <si>
    <t>STU0454</t>
  </si>
  <si>
    <t>STU0455</t>
  </si>
  <si>
    <t>STU0456</t>
  </si>
  <si>
    <t>STU0457</t>
  </si>
  <si>
    <t>STU0458</t>
  </si>
  <si>
    <t>STU0459</t>
  </si>
  <si>
    <t>STU0460</t>
  </si>
  <si>
    <t>STU0461</t>
  </si>
  <si>
    <t>STU0462</t>
  </si>
  <si>
    <t>STU0463</t>
  </si>
  <si>
    <t>STU0464</t>
  </si>
  <si>
    <t>STU0465</t>
  </si>
  <si>
    <t>STU0466</t>
  </si>
  <si>
    <t>STU0467</t>
  </si>
  <si>
    <t>STU0468</t>
  </si>
  <si>
    <t>STU0469</t>
  </si>
  <si>
    <t>STU0470</t>
  </si>
  <si>
    <t>STU0471</t>
  </si>
  <si>
    <t>STU0472</t>
  </si>
  <si>
    <t>STU0473</t>
  </si>
  <si>
    <t>STU0474</t>
  </si>
  <si>
    <t>STU0475</t>
  </si>
  <si>
    <t>STU0476</t>
  </si>
  <si>
    <t>STU0477</t>
  </si>
  <si>
    <t>STU0478</t>
  </si>
  <si>
    <t>STU0479</t>
  </si>
  <si>
    <t>STU0480</t>
  </si>
  <si>
    <t>STU0481</t>
  </si>
  <si>
    <t>STU0482</t>
  </si>
  <si>
    <t>STU0483</t>
  </si>
  <si>
    <t>STU0484</t>
  </si>
  <si>
    <t>STU0485</t>
  </si>
  <si>
    <t>STU0486</t>
  </si>
  <si>
    <t>STU0487</t>
  </si>
  <si>
    <t>STU0488</t>
  </si>
  <si>
    <t>STU0489</t>
  </si>
  <si>
    <t>STU0490</t>
  </si>
  <si>
    <t>STU0491</t>
  </si>
  <si>
    <t>STU0492</t>
  </si>
  <si>
    <t>STU0493</t>
  </si>
  <si>
    <t>STU0494</t>
  </si>
  <si>
    <t>STU0495</t>
  </si>
  <si>
    <t>STU0496</t>
  </si>
  <si>
    <t>STU0497</t>
  </si>
  <si>
    <t>STU0498</t>
  </si>
  <si>
    <t>STU0499</t>
  </si>
  <si>
    <t>STU0500</t>
  </si>
  <si>
    <t>result</t>
  </si>
  <si>
    <t>Grade</t>
  </si>
  <si>
    <t>Performance</t>
  </si>
  <si>
    <t>highest score</t>
  </si>
  <si>
    <t>average score</t>
  </si>
  <si>
    <t>lowest score</t>
  </si>
  <si>
    <t>total pass</t>
  </si>
  <si>
    <t>total fail</t>
  </si>
  <si>
    <t>Row Labels</t>
  </si>
  <si>
    <t>Grand Total</t>
  </si>
  <si>
    <t>Sum of final_score</t>
  </si>
  <si>
    <t>Average of final_score</t>
  </si>
  <si>
    <t>Count of student_id</t>
  </si>
  <si>
    <t>B</t>
  </si>
  <si>
    <t>STUDENT PERFORMANCE DASHBOARD</t>
  </si>
  <si>
    <t>TOTAL STUDENTS</t>
  </si>
  <si>
    <t>HIGHEST SCORE</t>
  </si>
  <si>
    <t>PASS STUDENTS</t>
  </si>
  <si>
    <t>FAIL STUDENTS</t>
  </si>
  <si>
    <t>AVAERAGE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</si>
</sst>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ont>
    <font>
      <b/>
      <sz val="20"/>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49998474074526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19" fillId="0" borderId="0" xfId="0" applyFont="1" applyAlignment="1">
      <alignment vertical="center"/>
    </xf>
    <xf numFmtId="0" fontId="0" fillId="0" borderId="0" xfId="0" pivotButton="1"/>
    <xf numFmtId="0" fontId="0" fillId="0" borderId="0" xfId="0" applyAlignment="1">
      <alignment horizontal="left"/>
    </xf>
    <xf numFmtId="0" fontId="0" fillId="33"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0" borderId="11" xfId="0" applyBorder="1"/>
    <xf numFmtId="0" fontId="0" fillId="0" borderId="12" xfId="0" applyBorder="1"/>
    <xf numFmtId="0" fontId="0" fillId="0" borderId="14" xfId="0" applyBorder="1"/>
    <xf numFmtId="0" fontId="0" fillId="0" borderId="13" xfId="0" applyBorder="1"/>
    <xf numFmtId="0" fontId="0" fillId="33" borderId="13" xfId="0" applyFill="1" applyBorder="1"/>
    <xf numFmtId="0" fontId="0" fillId="38" borderId="14" xfId="0" applyFill="1" applyBorder="1"/>
    <xf numFmtId="0" fontId="0" fillId="33" borderId="15" xfId="0" applyFill="1" applyBorder="1"/>
    <xf numFmtId="0" fontId="0" fillId="33" borderId="16" xfId="0" applyFill="1" applyBorder="1"/>
    <xf numFmtId="0" fontId="0" fillId="35" borderId="16" xfId="0" applyFill="1" applyBorder="1"/>
    <xf numFmtId="0" fontId="0" fillId="36" borderId="16" xfId="0" applyFill="1" applyBorder="1"/>
    <xf numFmtId="0" fontId="0" fillId="37" borderId="16" xfId="0" applyFill="1" applyBorder="1"/>
    <xf numFmtId="0" fontId="0" fillId="38" borderId="16" xfId="0" applyFill="1" applyBorder="1"/>
    <xf numFmtId="0" fontId="0" fillId="38" borderId="17" xfId="0" applyFill="1" applyBorder="1"/>
    <xf numFmtId="0" fontId="20" fillId="34" borderId="10" xfId="0" applyFont="1" applyFill="1" applyBorder="1"/>
    <xf numFmtId="0" fontId="20" fillId="34" borderId="11" xfId="0" applyFont="1" applyFill="1" applyBorder="1"/>
    <xf numFmtId="0" fontId="20" fillId="34" borderId="13" xfId="0" applyFont="1" applyFill="1" applyBorder="1"/>
    <xf numFmtId="0" fontId="20"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 (final).xlsx]gender analysis!PivotTable1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analysis'!$B$3</c:f>
              <c:strCache>
                <c:ptCount val="1"/>
                <c:pt idx="0">
                  <c:v>Total</c:v>
                </c:pt>
              </c:strCache>
            </c:strRef>
          </c:tx>
          <c:spPr>
            <a:solidFill>
              <a:schemeClr val="accent1"/>
            </a:solidFill>
            <a:ln>
              <a:noFill/>
            </a:ln>
            <a:effectLst/>
          </c:spPr>
          <c:invertIfNegative val="0"/>
          <c:cat>
            <c:strRef>
              <c:f>'gender analysis'!$A$4:$A$5</c:f>
              <c:strCache>
                <c:ptCount val="1"/>
                <c:pt idx="0">
                  <c:v>Female</c:v>
                </c:pt>
              </c:strCache>
            </c:strRef>
          </c:cat>
          <c:val>
            <c:numRef>
              <c:f>'gender analysis'!$B$4:$B$5</c:f>
              <c:numCache>
                <c:formatCode>General</c:formatCode>
                <c:ptCount val="1"/>
                <c:pt idx="0">
                  <c:v>81</c:v>
                </c:pt>
              </c:numCache>
            </c:numRef>
          </c:val>
          <c:extLst>
            <c:ext xmlns:c16="http://schemas.microsoft.com/office/drawing/2014/chart" uri="{C3380CC4-5D6E-409C-BE32-E72D297353CC}">
              <c16:uniqueId val="{00000000-667B-43C4-9C35-B2402069F0E3}"/>
            </c:ext>
          </c:extLst>
        </c:ser>
        <c:dLbls>
          <c:showLegendKey val="0"/>
          <c:showVal val="0"/>
          <c:showCatName val="0"/>
          <c:showSerName val="0"/>
          <c:showPercent val="0"/>
          <c:showBubbleSize val="0"/>
        </c:dLbls>
        <c:gapWidth val="219"/>
        <c:overlap val="-27"/>
        <c:axId val="705802591"/>
        <c:axId val="705803071"/>
      </c:barChart>
      <c:catAx>
        <c:axId val="70580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803071"/>
        <c:crosses val="autoZero"/>
        <c:auto val="1"/>
        <c:lblAlgn val="ctr"/>
        <c:lblOffset val="100"/>
        <c:noMultiLvlLbl val="0"/>
      </c:catAx>
      <c:valAx>
        <c:axId val="70580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80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 (final).xlsx]grade distribution!PivotTable2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'grade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F5-470B-9457-74FBD0979262}"/>
              </c:ext>
            </c:extLst>
          </c:dPt>
          <c:cat>
            <c:strRef>
              <c:f>'grade distribution'!$A$4:$A$5</c:f>
              <c:strCache>
                <c:ptCount val="1"/>
                <c:pt idx="0">
                  <c:v>B</c:v>
                </c:pt>
              </c:strCache>
            </c:strRef>
          </c:cat>
          <c:val>
            <c:numRef>
              <c:f>'grade distribution'!$B$4:$B$5</c:f>
              <c:numCache>
                <c:formatCode>General</c:formatCode>
                <c:ptCount val="1"/>
                <c:pt idx="0">
                  <c:v>1</c:v>
                </c:pt>
              </c:numCache>
            </c:numRef>
          </c:val>
          <c:extLst>
            <c:ext xmlns:c16="http://schemas.microsoft.com/office/drawing/2014/chart" uri="{C3380CC4-5D6E-409C-BE32-E72D297353CC}">
              <c16:uniqueId val="{00000000-994A-4360-8146-719355FB51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 (final).xlsx]gender 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analysis'!$B$3</c:f>
              <c:strCache>
                <c:ptCount val="1"/>
                <c:pt idx="0">
                  <c:v>Total</c:v>
                </c:pt>
              </c:strCache>
            </c:strRef>
          </c:tx>
          <c:spPr>
            <a:solidFill>
              <a:schemeClr val="accent1"/>
            </a:solidFill>
            <a:ln>
              <a:noFill/>
            </a:ln>
            <a:effectLst/>
          </c:spPr>
          <c:invertIfNegative val="0"/>
          <c:cat>
            <c:strRef>
              <c:f>'gender analysis'!$A$4:$A$5</c:f>
              <c:strCache>
                <c:ptCount val="1"/>
                <c:pt idx="0">
                  <c:v>Female</c:v>
                </c:pt>
              </c:strCache>
            </c:strRef>
          </c:cat>
          <c:val>
            <c:numRef>
              <c:f>'gender analysis'!$B$4:$B$5</c:f>
              <c:numCache>
                <c:formatCode>General</c:formatCode>
                <c:ptCount val="1"/>
                <c:pt idx="0">
                  <c:v>81</c:v>
                </c:pt>
              </c:numCache>
            </c:numRef>
          </c:val>
          <c:extLst>
            <c:ext xmlns:c16="http://schemas.microsoft.com/office/drawing/2014/chart" uri="{C3380CC4-5D6E-409C-BE32-E72D297353CC}">
              <c16:uniqueId val="{00000000-71FD-48AC-A233-1FA97D9F2261}"/>
            </c:ext>
          </c:extLst>
        </c:ser>
        <c:dLbls>
          <c:showLegendKey val="0"/>
          <c:showVal val="0"/>
          <c:showCatName val="0"/>
          <c:showSerName val="0"/>
          <c:showPercent val="0"/>
          <c:showBubbleSize val="0"/>
        </c:dLbls>
        <c:gapWidth val="219"/>
        <c:overlap val="-27"/>
        <c:axId val="705802591"/>
        <c:axId val="705803071"/>
      </c:barChart>
      <c:catAx>
        <c:axId val="70580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803071"/>
        <c:crosses val="autoZero"/>
        <c:auto val="1"/>
        <c:lblAlgn val="ctr"/>
        <c:lblOffset val="100"/>
        <c:noMultiLvlLbl val="0"/>
      </c:catAx>
      <c:valAx>
        <c:axId val="70580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80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 (final).xlsx]grade distribution!PivotTable2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'grade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D3-44E2-97BD-56D59D8E8E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D3-44E2-97BD-56D59D8E8E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D3-44E2-97BD-56D59D8E8E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D3-44E2-97BD-56D59D8E8E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D3-44E2-97BD-56D59D8E8E72}"/>
              </c:ext>
            </c:extLst>
          </c:dPt>
          <c:cat>
            <c:strRef>
              <c:f>'grade distribution'!$A$4:$A$5</c:f>
              <c:strCache>
                <c:ptCount val="1"/>
                <c:pt idx="0">
                  <c:v>B</c:v>
                </c:pt>
              </c:strCache>
            </c:strRef>
          </c:cat>
          <c:val>
            <c:numRef>
              <c:f>'grade distribution'!$B$4:$B$5</c:f>
              <c:numCache>
                <c:formatCode>General</c:formatCode>
                <c:ptCount val="1"/>
                <c:pt idx="0">
                  <c:v>1</c:v>
                </c:pt>
              </c:numCache>
            </c:numRef>
          </c:val>
          <c:extLst>
            <c:ext xmlns:c16="http://schemas.microsoft.com/office/drawing/2014/chart" uri="{C3380CC4-5D6E-409C-BE32-E72D297353CC}">
              <c16:uniqueId val="{0000000A-37D3-44E2-97BD-56D59D8E8E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 (final).xlsx]attendance vs final score!PivotTable3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'attendance vs final score'!$B$3</c:f>
              <c:strCache>
                <c:ptCount val="1"/>
                <c:pt idx="0">
                  <c:v>Total</c:v>
                </c:pt>
              </c:strCache>
            </c:strRef>
          </c:tx>
          <c:spPr>
            <a:solidFill>
              <a:schemeClr val="accent1"/>
            </a:solidFill>
            <a:ln>
              <a:noFill/>
            </a:ln>
            <a:effectLst/>
          </c:spPr>
          <c:invertIfNegative val="0"/>
          <c:cat>
            <c:strRef>
              <c:f>'attendance vs final score'!$A$4:$A$7</c:f>
              <c:strCache>
                <c:ptCount val="3"/>
                <c:pt idx="0">
                  <c:v>60</c:v>
                </c:pt>
                <c:pt idx="1">
                  <c:v>70.8</c:v>
                </c:pt>
                <c:pt idx="2">
                  <c:v>79.7</c:v>
                </c:pt>
              </c:strCache>
            </c:strRef>
          </c:cat>
          <c:val>
            <c:numRef>
              <c:f>'attendance vs final score'!$B$4:$B$7</c:f>
              <c:numCache>
                <c:formatCode>General</c:formatCode>
                <c:ptCount val="3"/>
                <c:pt idx="0">
                  <c:v>80</c:v>
                </c:pt>
                <c:pt idx="1">
                  <c:v>80</c:v>
                </c:pt>
                <c:pt idx="2">
                  <c:v>80</c:v>
                </c:pt>
              </c:numCache>
            </c:numRef>
          </c:val>
          <c:extLst>
            <c:ext xmlns:c16="http://schemas.microsoft.com/office/drawing/2014/chart" uri="{C3380CC4-5D6E-409C-BE32-E72D297353CC}">
              <c16:uniqueId val="{00000000-EAD9-43C2-9FFF-DB6E89443D34}"/>
            </c:ext>
          </c:extLst>
        </c:ser>
        <c:dLbls>
          <c:showLegendKey val="0"/>
          <c:showVal val="0"/>
          <c:showCatName val="0"/>
          <c:showSerName val="0"/>
          <c:showPercent val="0"/>
          <c:showBubbleSize val="0"/>
        </c:dLbls>
        <c:gapWidth val="219"/>
        <c:overlap val="-27"/>
        <c:axId val="766683551"/>
        <c:axId val="766684031"/>
      </c:barChart>
      <c:catAx>
        <c:axId val="76668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84031"/>
        <c:crosses val="autoZero"/>
        <c:auto val="1"/>
        <c:lblAlgn val="ctr"/>
        <c:lblOffset val="100"/>
        <c:noMultiLvlLbl val="0"/>
      </c:catAx>
      <c:valAx>
        <c:axId val="76668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8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 (final).xlsx]attendance vs final score!PivotTable3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'attendance vs final score'!$B$3</c:f>
              <c:strCache>
                <c:ptCount val="1"/>
                <c:pt idx="0">
                  <c:v>Total</c:v>
                </c:pt>
              </c:strCache>
            </c:strRef>
          </c:tx>
          <c:spPr>
            <a:solidFill>
              <a:schemeClr val="accent1"/>
            </a:solidFill>
            <a:ln>
              <a:noFill/>
            </a:ln>
            <a:effectLst/>
          </c:spPr>
          <c:invertIfNegative val="0"/>
          <c:cat>
            <c:strRef>
              <c:f>'attendance vs final score'!$A$4:$A$7</c:f>
              <c:strCache>
                <c:ptCount val="3"/>
                <c:pt idx="0">
                  <c:v>60</c:v>
                </c:pt>
                <c:pt idx="1">
                  <c:v>70.8</c:v>
                </c:pt>
                <c:pt idx="2">
                  <c:v>79.7</c:v>
                </c:pt>
              </c:strCache>
            </c:strRef>
          </c:cat>
          <c:val>
            <c:numRef>
              <c:f>'attendance vs final score'!$B$4:$B$7</c:f>
              <c:numCache>
                <c:formatCode>General</c:formatCode>
                <c:ptCount val="3"/>
                <c:pt idx="0">
                  <c:v>80</c:v>
                </c:pt>
                <c:pt idx="1">
                  <c:v>80</c:v>
                </c:pt>
                <c:pt idx="2">
                  <c:v>80</c:v>
                </c:pt>
              </c:numCache>
            </c:numRef>
          </c:val>
          <c:extLst>
            <c:ext xmlns:c16="http://schemas.microsoft.com/office/drawing/2014/chart" uri="{C3380CC4-5D6E-409C-BE32-E72D297353CC}">
              <c16:uniqueId val="{00000000-CCE2-4993-B8DD-A8370BAA6D3F}"/>
            </c:ext>
          </c:extLst>
        </c:ser>
        <c:dLbls>
          <c:showLegendKey val="0"/>
          <c:showVal val="0"/>
          <c:showCatName val="0"/>
          <c:showSerName val="0"/>
          <c:showPercent val="0"/>
          <c:showBubbleSize val="0"/>
        </c:dLbls>
        <c:gapWidth val="219"/>
        <c:overlap val="-27"/>
        <c:axId val="766683551"/>
        <c:axId val="766684031"/>
      </c:barChart>
      <c:catAx>
        <c:axId val="76668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84031"/>
        <c:crosses val="autoZero"/>
        <c:auto val="1"/>
        <c:lblAlgn val="ctr"/>
        <c:lblOffset val="100"/>
        <c:noMultiLvlLbl val="0"/>
      </c:catAx>
      <c:valAx>
        <c:axId val="76668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8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297180</xdr:colOff>
      <xdr:row>9</xdr:row>
      <xdr:rowOff>83820</xdr:rowOff>
    </xdr:from>
    <xdr:to>
      <xdr:col>10</xdr:col>
      <xdr:colOff>601980</xdr:colOff>
      <xdr:row>24</xdr:row>
      <xdr:rowOff>83820</xdr:rowOff>
    </xdr:to>
    <xdr:graphicFrame macro="">
      <xdr:nvGraphicFramePr>
        <xdr:cNvPr id="3" name="Chart 2">
          <a:extLst>
            <a:ext uri="{FF2B5EF4-FFF2-40B4-BE49-F238E27FC236}">
              <a16:creationId xmlns:a16="http://schemas.microsoft.com/office/drawing/2014/main" id="{B7AC219E-ED8E-F24C-0E1F-24E7F71F8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198120</xdr:colOff>
      <xdr:row>9</xdr:row>
      <xdr:rowOff>175260</xdr:rowOff>
    </xdr:from>
    <xdr:to>
      <xdr:col>14</xdr:col>
      <xdr:colOff>198120</xdr:colOff>
      <xdr:row>23</xdr:row>
      <xdr:rowOff>81915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B776539A-616F-7674-715F-FCA9F27CCC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09560" y="1821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426720</xdr:colOff>
      <xdr:row>7</xdr:row>
      <xdr:rowOff>87630</xdr:rowOff>
    </xdr:from>
    <xdr:to>
      <xdr:col>11</xdr:col>
      <xdr:colOff>121920</xdr:colOff>
      <xdr:row>22</xdr:row>
      <xdr:rowOff>87630</xdr:rowOff>
    </xdr:to>
    <xdr:graphicFrame macro="">
      <xdr:nvGraphicFramePr>
        <xdr:cNvPr id="2" name="Chart 1">
          <a:extLst>
            <a:ext uri="{FF2B5EF4-FFF2-40B4-BE49-F238E27FC236}">
              <a16:creationId xmlns:a16="http://schemas.microsoft.com/office/drawing/2014/main" id="{D03459C5-146E-5436-4BA1-6E95429E6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259080</xdr:colOff>
      <xdr:row>7</xdr:row>
      <xdr:rowOff>121920</xdr:rowOff>
    </xdr:from>
    <xdr:to>
      <xdr:col>14</xdr:col>
      <xdr:colOff>259080</xdr:colOff>
      <xdr:row>21</xdr:row>
      <xdr:rowOff>28575</xdr:rowOff>
    </xdr:to>
    <mc:AlternateContent xmlns:mc="http://schemas.openxmlformats.org/markup-compatibility/2006" xmlns:a14="http://schemas.microsoft.com/office/drawing/2010/main">
      <mc:Choice Requires="a14">
        <xdr:graphicFrame macro="">
          <xdr:nvGraphicFramePr>
            <xdr:cNvPr id="5" name="Grade">
              <a:extLst>
                <a:ext uri="{FF2B5EF4-FFF2-40B4-BE49-F238E27FC236}">
                  <a16:creationId xmlns:a16="http://schemas.microsoft.com/office/drawing/2014/main" id="{2495251A-535E-3115-115E-2245AB2C4AD0}"/>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7840980" y="140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6</xdr:row>
      <xdr:rowOff>91440</xdr:rowOff>
    </xdr:from>
    <xdr:to>
      <xdr:col>7</xdr:col>
      <xdr:colOff>342900</xdr:colOff>
      <xdr:row>21</xdr:row>
      <xdr:rowOff>91440</xdr:rowOff>
    </xdr:to>
    <xdr:graphicFrame macro="">
      <xdr:nvGraphicFramePr>
        <xdr:cNvPr id="2" name="Chart 1">
          <a:extLst>
            <a:ext uri="{FF2B5EF4-FFF2-40B4-BE49-F238E27FC236}">
              <a16:creationId xmlns:a16="http://schemas.microsoft.com/office/drawing/2014/main" id="{E49AD180-C6B9-406C-B31A-7B8921302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6</xdr:row>
      <xdr:rowOff>83820</xdr:rowOff>
    </xdr:from>
    <xdr:to>
      <xdr:col>15</xdr:col>
      <xdr:colOff>266700</xdr:colOff>
      <xdr:row>21</xdr:row>
      <xdr:rowOff>83820</xdr:rowOff>
    </xdr:to>
    <xdr:graphicFrame macro="">
      <xdr:nvGraphicFramePr>
        <xdr:cNvPr id="3" name="Chart 2">
          <a:extLst>
            <a:ext uri="{FF2B5EF4-FFF2-40B4-BE49-F238E27FC236}">
              <a16:creationId xmlns:a16="http://schemas.microsoft.com/office/drawing/2014/main" id="{862B530E-A92E-4456-8D05-45BFEA21E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45720</xdr:colOff>
      <xdr:row>22</xdr:row>
      <xdr:rowOff>22860</xdr:rowOff>
    </xdr:from>
    <xdr:to>
      <xdr:col>8</xdr:col>
      <xdr:colOff>350520</xdr:colOff>
      <xdr:row>37</xdr:row>
      <xdr:rowOff>22860</xdr:rowOff>
    </xdr:to>
    <xdr:graphicFrame macro="">
      <xdr:nvGraphicFramePr>
        <xdr:cNvPr id="4" name="Chart 3">
          <a:extLst>
            <a:ext uri="{FF2B5EF4-FFF2-40B4-BE49-F238E27FC236}">
              <a16:creationId xmlns:a16="http://schemas.microsoft.com/office/drawing/2014/main" id="{3E3DFDC5-92FF-4FF6-9A3E-C869E998C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533400</xdr:colOff>
      <xdr:row>23</xdr:row>
      <xdr:rowOff>22860</xdr:rowOff>
    </xdr:from>
    <xdr:to>
      <xdr:col>11</xdr:col>
      <xdr:colOff>533400</xdr:colOff>
      <xdr:row>36</xdr:row>
      <xdr:rowOff>112395</xdr:rowOff>
    </xdr:to>
    <mc:AlternateContent xmlns:mc="http://schemas.openxmlformats.org/markup-compatibility/2006" xmlns:a14="http://schemas.microsoft.com/office/drawing/2010/main">
      <mc:Choice Requires="a14">
        <xdr:graphicFrame macro="">
          <xdr:nvGraphicFramePr>
            <xdr:cNvPr id="5" name="Grade 1">
              <a:extLst>
                <a:ext uri="{FF2B5EF4-FFF2-40B4-BE49-F238E27FC236}">
                  <a16:creationId xmlns:a16="http://schemas.microsoft.com/office/drawing/2014/main" id="{37B2684A-A808-4128-A44D-63EA9EC84A08}"/>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5410200" y="422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23</xdr:row>
      <xdr:rowOff>60960</xdr:rowOff>
    </xdr:from>
    <xdr:to>
      <xdr:col>15</xdr:col>
      <xdr:colOff>0</xdr:colOff>
      <xdr:row>36</xdr:row>
      <xdr:rowOff>150495</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A4201042-48FC-4829-BF54-09A76F413E2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15200" y="426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23</xdr:row>
      <xdr:rowOff>76200</xdr:rowOff>
    </xdr:from>
    <xdr:to>
      <xdr:col>18</xdr:col>
      <xdr:colOff>38100</xdr:colOff>
      <xdr:row>36</xdr:row>
      <xdr:rowOff>165735</xdr:rowOff>
    </xdr:to>
    <mc:AlternateContent xmlns:mc="http://schemas.openxmlformats.org/markup-compatibility/2006" xmlns:a14="http://schemas.microsoft.com/office/drawing/2010/main">
      <mc:Choice Requires="a14">
        <xdr:graphicFrame macro="">
          <xdr:nvGraphicFramePr>
            <xdr:cNvPr id="8" name="final_score 1">
              <a:extLst>
                <a:ext uri="{FF2B5EF4-FFF2-40B4-BE49-F238E27FC236}">
                  <a16:creationId xmlns:a16="http://schemas.microsoft.com/office/drawing/2014/main" id="{4C023454-F6DE-46B3-A551-75357C9ACD17}"/>
                </a:ext>
              </a:extLst>
            </xdr:cNvPr>
            <xdr:cNvGraphicFramePr/>
          </xdr:nvGraphicFramePr>
          <xdr:xfrm>
            <a:off x="0" y="0"/>
            <a:ext cx="0" cy="0"/>
          </xdr:xfrm>
          <a:graphic>
            <a:graphicData uri="http://schemas.microsoft.com/office/drawing/2010/slicer">
              <sle:slicer xmlns:sle="http://schemas.microsoft.com/office/drawing/2010/slicer" name="final_score 1"/>
            </a:graphicData>
          </a:graphic>
        </xdr:graphicFrame>
      </mc:Choice>
      <mc:Fallback xmlns="">
        <xdr:sp macro="" textlink="">
          <xdr:nvSpPr>
            <xdr:cNvPr id="0" name=""/>
            <xdr:cNvSpPr>
              <a:spLocks noTextEdit="1"/>
            </xdr:cNvSpPr>
          </xdr:nvSpPr>
          <xdr:spPr>
            <a:xfrm>
              <a:off x="9182100" y="428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198120</xdr:colOff>
      <xdr:row>23</xdr:row>
      <xdr:rowOff>68580</xdr:rowOff>
    </xdr:from>
    <xdr:to>
      <xdr:col>21</xdr:col>
      <xdr:colOff>198120</xdr:colOff>
      <xdr:row>36</xdr:row>
      <xdr:rowOff>158115</xdr:rowOff>
    </xdr:to>
    <mc:AlternateContent xmlns:mc="http://schemas.openxmlformats.org/markup-compatibility/2006" xmlns:a14="http://schemas.microsoft.com/office/drawing/2010/main">
      <mc:Choice Requires="a14">
        <xdr:graphicFrame macro="">
          <xdr:nvGraphicFramePr>
            <xdr:cNvPr id="9" name="attendance_rate 1">
              <a:extLst>
                <a:ext uri="{FF2B5EF4-FFF2-40B4-BE49-F238E27FC236}">
                  <a16:creationId xmlns:a16="http://schemas.microsoft.com/office/drawing/2014/main" id="{13C9B4ED-EA02-4E81-B573-5A642658DD11}"/>
                </a:ext>
              </a:extLst>
            </xdr:cNvPr>
            <xdr:cNvGraphicFramePr/>
          </xdr:nvGraphicFramePr>
          <xdr:xfrm>
            <a:off x="0" y="0"/>
            <a:ext cx="0" cy="0"/>
          </xdr:xfrm>
          <a:graphic>
            <a:graphicData uri="http://schemas.microsoft.com/office/drawing/2010/slicer">
              <sle:slicer xmlns:sle="http://schemas.microsoft.com/office/drawing/2010/slicer" name="attendance_rate 1"/>
            </a:graphicData>
          </a:graphic>
        </xdr:graphicFrame>
      </mc:Choice>
      <mc:Fallback xmlns="">
        <xdr:sp macro="" textlink="">
          <xdr:nvSpPr>
            <xdr:cNvPr id="0" name=""/>
            <xdr:cNvSpPr>
              <a:spLocks noTextEdit="1"/>
            </xdr:cNvSpPr>
          </xdr:nvSpPr>
          <xdr:spPr>
            <a:xfrm>
              <a:off x="11170920" y="427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518160</xdr:colOff>
      <xdr:row>7</xdr:row>
      <xdr:rowOff>87630</xdr:rowOff>
    </xdr:from>
    <xdr:to>
      <xdr:col>11</xdr:col>
      <xdr:colOff>213360</xdr:colOff>
      <xdr:row>22</xdr:row>
      <xdr:rowOff>87630</xdr:rowOff>
    </xdr:to>
    <xdr:graphicFrame macro="">
      <xdr:nvGraphicFramePr>
        <xdr:cNvPr id="2" name="Chart 1">
          <a:extLst>
            <a:ext uri="{FF2B5EF4-FFF2-40B4-BE49-F238E27FC236}">
              <a16:creationId xmlns:a16="http://schemas.microsoft.com/office/drawing/2014/main" id="{4A61827A-71C5-EC30-BE6A-B4669A7CC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472440</xdr:colOff>
      <xdr:row>6</xdr:row>
      <xdr:rowOff>45720</xdr:rowOff>
    </xdr:from>
    <xdr:to>
      <xdr:col>17</xdr:col>
      <xdr:colOff>472440</xdr:colOff>
      <xdr:row>19</xdr:row>
      <xdr:rowOff>135255</xdr:rowOff>
    </xdr:to>
    <mc:AlternateContent xmlns:mc="http://schemas.openxmlformats.org/markup-compatibility/2006" xmlns:a14="http://schemas.microsoft.com/office/drawing/2010/main">
      <mc:Choice Requires="a14">
        <xdr:graphicFrame macro="">
          <xdr:nvGraphicFramePr>
            <xdr:cNvPr id="3" name="attendance_rate">
              <a:extLst>
                <a:ext uri="{FF2B5EF4-FFF2-40B4-BE49-F238E27FC236}">
                  <a16:creationId xmlns:a16="http://schemas.microsoft.com/office/drawing/2014/main" id="{F28C9F55-F6C8-910A-80EA-AB986542C937}"/>
                </a:ext>
              </a:extLst>
            </xdr:cNvPr>
            <xdr:cNvGraphicFramePr/>
          </xdr:nvGraphicFramePr>
          <xdr:xfrm>
            <a:off x="0" y="0"/>
            <a:ext cx="0" cy="0"/>
          </xdr:xfrm>
          <a:graphic>
            <a:graphicData uri="http://schemas.microsoft.com/office/drawing/2010/slicer">
              <sle:slicer xmlns:sle="http://schemas.microsoft.com/office/drawing/2010/slicer" name="attendance_rate"/>
            </a:graphicData>
          </a:graphic>
        </xdr:graphicFrame>
      </mc:Choice>
      <mc:Fallback xmlns="">
        <xdr:sp macro="" textlink="">
          <xdr:nvSpPr>
            <xdr:cNvPr id="0" name=""/>
            <xdr:cNvSpPr>
              <a:spLocks noTextEdit="1"/>
            </xdr:cNvSpPr>
          </xdr:nvSpPr>
          <xdr:spPr>
            <a:xfrm>
              <a:off x="979170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6</xdr:row>
      <xdr:rowOff>167640</xdr:rowOff>
    </xdr:from>
    <xdr:to>
      <xdr:col>14</xdr:col>
      <xdr:colOff>381000</xdr:colOff>
      <xdr:row>20</xdr:row>
      <xdr:rowOff>74295</xdr:rowOff>
    </xdr:to>
    <mc:AlternateContent xmlns:mc="http://schemas.openxmlformats.org/markup-compatibility/2006" xmlns:a14="http://schemas.microsoft.com/office/drawing/2010/main">
      <mc:Choice Requires="a14">
        <xdr:graphicFrame macro="">
          <xdr:nvGraphicFramePr>
            <xdr:cNvPr id="4" name="final_score">
              <a:extLst>
                <a:ext uri="{FF2B5EF4-FFF2-40B4-BE49-F238E27FC236}">
                  <a16:creationId xmlns:a16="http://schemas.microsoft.com/office/drawing/2014/main" id="{3615D6C1-1C12-5A57-39AF-7B2B5BF7DE8B}"/>
                </a:ext>
              </a:extLst>
            </xdr:cNvPr>
            <xdr:cNvGraphicFramePr/>
          </xdr:nvGraphicFramePr>
          <xdr:xfrm>
            <a:off x="0" y="0"/>
            <a:ext cx="0" cy="0"/>
          </xdr:xfrm>
          <a:graphic>
            <a:graphicData uri="http://schemas.microsoft.com/office/drawing/2010/slicer">
              <sle:slicer xmlns:sle="http://schemas.microsoft.com/office/drawing/2010/slicer" name="final_score"/>
            </a:graphicData>
          </a:graphic>
        </xdr:graphicFrame>
      </mc:Choice>
      <mc:Fallback xmlns="">
        <xdr:sp macro="" textlink="">
          <xdr:nvSpPr>
            <xdr:cNvPr id="0" name=""/>
            <xdr:cNvSpPr>
              <a:spLocks noTextEdit="1"/>
            </xdr:cNvSpPr>
          </xdr:nvSpPr>
          <xdr:spPr>
            <a:xfrm>
              <a:off x="787146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eet kaur" refreshedDate="46154.856388310189" createdVersion="8" refreshedVersion="8" minRefreshableVersion="3" recordCount="500" xr:uid="{6796D6FE-BA78-48FD-9992-F8C875D1D193}">
  <cacheSource type="worksheet">
    <worksheetSource name="Table1"/>
  </cacheSource>
  <cacheFields count="14">
    <cacheField name="student_id" numFmtId="0">
      <sharedItems/>
    </cacheField>
    <cacheField name="gender" numFmtId="0">
      <sharedItems count="2">
        <s v="Male"/>
        <s v="Female"/>
      </sharedItems>
    </cacheField>
    <cacheField name="age" numFmtId="0">
      <sharedItems containsSemiMixedTypes="0" containsString="0" containsNumber="1" containsInteger="1" minValue="15" maxValue="19"/>
    </cacheField>
    <cacheField name="attendance_rate" numFmtId="0">
      <sharedItems containsSemiMixedTypes="0" containsString="0" containsNumber="1" minValue="50.2" maxValue="100" count="326">
        <n v="63.8"/>
        <n v="54.7"/>
        <n v="90.5"/>
        <n v="66.8"/>
        <n v="73"/>
        <n v="85.2"/>
        <n v="72.7"/>
        <n v="81.7"/>
        <n v="84.2"/>
        <n v="95.7"/>
        <n v="57"/>
        <n v="74.7"/>
        <n v="69.2"/>
        <n v="63.3"/>
        <n v="93.8"/>
        <n v="88.1"/>
        <n v="99.3"/>
        <n v="74.3"/>
        <n v="93.6"/>
        <n v="75.900000000000006"/>
        <n v="61.5"/>
        <n v="66.5"/>
        <n v="73.599999999999994"/>
        <n v="70.599999999999994"/>
        <n v="59.6"/>
        <n v="93.7"/>
        <n v="92.4"/>
        <n v="68.900000000000006"/>
        <n v="64.8"/>
        <n v="76.599999999999994"/>
        <n v="56"/>
        <n v="83.5"/>
        <n v="96.5"/>
        <n v="56.6"/>
        <n v="77.2"/>
        <n v="55.4"/>
        <n v="84.4"/>
        <n v="50.2"/>
        <n v="55.6"/>
        <n v="68.2"/>
        <n v="78"/>
        <n v="59"/>
        <n v="51.9"/>
        <n v="51.2"/>
        <n v="75.5"/>
        <n v="78.8"/>
        <n v="53.5"/>
        <n v="70.099999999999994"/>
        <n v="78.5"/>
        <n v="82.7"/>
        <n v="54.2"/>
        <n v="60"/>
        <n v="94.3"/>
        <n v="62.5"/>
        <n v="90.8"/>
        <n v="87.6"/>
        <n v="63.6"/>
        <n v="60.7"/>
        <n v="71"/>
        <n v="69.5"/>
        <n v="69.400000000000006"/>
        <n v="78.2"/>
        <n v="69"/>
        <n v="97.6"/>
        <n v="82.5"/>
        <n v="73.7"/>
        <n v="80.400000000000006"/>
        <n v="83.9"/>
        <n v="88.6"/>
        <n v="75.3"/>
        <n v="94.6"/>
        <n v="96"/>
        <n v="94.1"/>
        <n v="74.400000000000006"/>
        <n v="75.8"/>
        <n v="85.6"/>
        <n v="83.2"/>
        <n v="87.1"/>
        <n v="59.7"/>
        <n v="98.7"/>
        <n v="73.5"/>
        <n v="53.3"/>
        <n v="55.9"/>
        <n v="65.3"/>
        <n v="54.1"/>
        <n v="79.7"/>
        <n v="91.3"/>
        <n v="73.400000000000006"/>
        <n v="79.900000000000006"/>
        <n v="97.5"/>
        <n v="99.8"/>
        <n v="99.4"/>
        <n v="74.900000000000006"/>
        <n v="94"/>
        <n v="50.7"/>
        <n v="96.6"/>
        <n v="57.2"/>
        <n v="75.400000000000006"/>
        <n v="67.3"/>
        <n v="61.7"/>
        <n v="89.6"/>
        <n v="92.3"/>
        <n v="89.1"/>
        <n v="85.9"/>
        <n v="54.5"/>
        <n v="66.2"/>
        <n v="62"/>
        <n v="83.3"/>
        <n v="81.900000000000006"/>
        <n v="61.9"/>
        <n v="78.3"/>
        <n v="59.5"/>
        <n v="93.5"/>
        <n v="90.2"/>
        <n v="83.6"/>
        <n v="81"/>
        <n v="70.400000000000006"/>
        <n v="94.4"/>
        <n v="86.3"/>
        <n v="72.2"/>
        <n v="66.7"/>
        <n v="88.7"/>
        <n v="83.1"/>
        <n v="50.8"/>
        <n v="72.400000000000006"/>
        <n v="72.900000000000006"/>
        <n v="95.5"/>
        <n v="85.1"/>
        <n v="84.3"/>
        <n v="86.9"/>
        <n v="95.8"/>
        <n v="74.099999999999994"/>
        <n v="90.4"/>
        <n v="67.599999999999994"/>
        <n v="76.5"/>
        <n v="52.7"/>
        <n v="91.7"/>
        <n v="93.1"/>
        <n v="98.3"/>
        <n v="79.400000000000006"/>
        <n v="89"/>
        <n v="57.3"/>
        <n v="72.099999999999994"/>
        <n v="72.599999999999994"/>
        <n v="97.9"/>
        <n v="85.4"/>
        <n v="66.900000000000006"/>
        <n v="69.3"/>
        <n v="98.4"/>
        <n v="56.4"/>
        <n v="80.5"/>
        <n v="70.900000000000006"/>
        <n v="96.7"/>
        <n v="95.3"/>
        <n v="65.900000000000006"/>
        <n v="91.6"/>
        <n v="57.5"/>
        <n v="62.1"/>
        <n v="70.8"/>
        <n v="86.6"/>
        <n v="60.1"/>
        <n v="62.7"/>
        <n v="90"/>
        <n v="80.099999999999994"/>
        <n v="99.9"/>
        <n v="56.9"/>
        <n v="59.3"/>
        <n v="94.9"/>
        <n v="64.5"/>
        <n v="99.2"/>
        <n v="88.5"/>
        <n v="84"/>
        <n v="57.7"/>
        <n v="59.8"/>
        <n v="58.4"/>
        <n v="52.3"/>
        <n v="81.400000000000006"/>
        <n v="53.6"/>
        <n v="80.3"/>
        <n v="55.3"/>
        <n v="52.5"/>
        <n v="58"/>
        <n v="68.3"/>
        <n v="64.400000000000006"/>
        <n v="89.7"/>
        <n v="83.8"/>
        <n v="78.7"/>
        <n v="91.4"/>
        <n v="76.8"/>
        <n v="96.8"/>
        <n v="83.7"/>
        <n v="61.8"/>
        <n v="83.4"/>
        <n v="87.4"/>
        <n v="87.7"/>
        <n v="77.400000000000006"/>
        <n v="60.3"/>
        <n v="75.7"/>
        <n v="82.1"/>
        <n v="98.2"/>
        <n v="86.4"/>
        <n v="91.2"/>
        <n v="72.3"/>
        <n v="76.2"/>
        <n v="68.599999999999994"/>
        <n v="96.9"/>
        <n v="88.8"/>
        <n v="78.099999999999994"/>
        <n v="91.1"/>
        <n v="59.2"/>
        <n v="80.900000000000006"/>
        <n v="95.9"/>
        <n v="52.8"/>
        <n v="96.2"/>
        <n v="92.5"/>
        <n v="80.7"/>
        <n v="61.4"/>
        <n v="63.5"/>
        <n v="63.4"/>
        <n v="56.8"/>
        <n v="71.5"/>
        <n v="58.9"/>
        <n v="64"/>
        <n v="97.7"/>
        <n v="75"/>
        <n v="72.5"/>
        <n v="89.5"/>
        <n v="80.599999999999994"/>
        <n v="61.1"/>
        <n v="67.400000000000006"/>
        <n v="85.5"/>
        <n v="77.599999999999994"/>
        <n v="82"/>
        <n v="59.9"/>
        <n v="84.7"/>
        <n v="92.1"/>
        <n v="87.8"/>
        <n v="100"/>
        <n v="93.3"/>
        <n v="78.900000000000006"/>
        <n v="87.5"/>
        <n v="98.6"/>
        <n v="66.099999999999994"/>
        <n v="55"/>
        <n v="54.6"/>
        <n v="76"/>
        <n v="69.099999999999994"/>
        <n v="86.1"/>
        <n v="56.2"/>
        <n v="82.2"/>
        <n v="82.3"/>
        <n v="76.400000000000006"/>
        <n v="84.1"/>
        <n v="96.1"/>
        <n v="62.2"/>
        <n v="56.3"/>
        <n v="53.2"/>
        <n v="93"/>
        <n v="77.7"/>
        <n v="73.2"/>
        <n v="61.6"/>
        <n v="63"/>
        <n v="97.2"/>
        <n v="70.3"/>
        <n v="62.4"/>
        <n v="92.7"/>
        <n v="53.1"/>
        <n v="62.9"/>
        <n v="80.8"/>
        <n v="61"/>
        <n v="99.6"/>
        <n v="57.4"/>
        <n v="99.1"/>
        <n v="74"/>
        <n v="97.1"/>
        <n v="71.7"/>
        <n v="96.3"/>
        <n v="78.599999999999994"/>
        <n v="64.599999999999994"/>
        <n v="94.7"/>
        <n v="57.6"/>
        <n v="92"/>
        <n v="95.1"/>
        <n v="66"/>
        <n v="79.099999999999994"/>
        <n v="73.8"/>
        <n v="92.6"/>
        <n v="72.8"/>
        <n v="51.5"/>
        <n v="91.9"/>
        <n v="93.2"/>
        <n v="73.3"/>
        <n v="66.3"/>
        <n v="92.9"/>
        <n v="85.7"/>
        <n v="64.7"/>
        <n v="67.8"/>
        <n v="64.900000000000006"/>
        <n v="81.599999999999994"/>
        <n v="74.5"/>
        <n v="86.7"/>
        <n v="55.8"/>
        <n v="85"/>
        <n v="74.8"/>
        <n v="91.8"/>
        <n v="90.7"/>
        <n v="51.4"/>
        <n v="63.1"/>
        <n v="87.3"/>
        <n v="80.2"/>
        <n v="88"/>
        <n v="68.7"/>
        <n v="87.9"/>
        <n v="86.5"/>
        <n v="51.3"/>
        <n v="93.4"/>
        <n v="98.1"/>
        <n v="56.5"/>
        <n v="96.4"/>
        <n v="76.900000000000006"/>
        <n v="95.2"/>
        <n v="77"/>
        <n v="70.2"/>
        <n v="57.8"/>
        <n v="69.7"/>
        <n v="59.1"/>
      </sharedItems>
    </cacheField>
    <cacheField name="previous_score" numFmtId="0">
      <sharedItems containsSemiMixedTypes="0" containsString="0" containsNumber="1" containsInteger="1" minValue="30" maxValue="95"/>
    </cacheField>
    <cacheField name="final_score" numFmtId="0">
      <sharedItems containsSemiMixedTypes="0" containsString="0" containsNumber="1" containsInteger="1" minValue="20" maxValue="95" count="70">
        <n v="67"/>
        <n v="28"/>
        <n v="49"/>
        <n v="70"/>
        <n v="77"/>
        <n v="37"/>
        <n v="42"/>
        <n v="56"/>
        <n v="44"/>
        <n v="69"/>
        <n v="38"/>
        <n v="64"/>
        <n v="84"/>
        <n v="89"/>
        <n v="79"/>
        <n v="65"/>
        <n v="46"/>
        <n v="72"/>
        <n v="48"/>
        <n v="53"/>
        <n v="75"/>
        <n v="24"/>
        <n v="78"/>
        <n v="43"/>
        <n v="41"/>
        <n v="62"/>
        <n v="31"/>
        <n v="27"/>
        <n v="55"/>
        <n v="82"/>
        <n v="23"/>
        <n v="57"/>
        <n v="61"/>
        <n v="59"/>
        <n v="68"/>
        <n v="80"/>
        <n v="66"/>
        <n v="71"/>
        <n v="76"/>
        <n v="34"/>
        <n v="52"/>
        <n v="74"/>
        <n v="58"/>
        <n v="40"/>
        <n v="45"/>
        <n v="60"/>
        <n v="50"/>
        <n v="54"/>
        <n v="51"/>
        <n v="32"/>
        <n v="39"/>
        <n v="63"/>
        <n v="29"/>
        <n v="22"/>
        <n v="47"/>
        <n v="73"/>
        <n v="33"/>
        <n v="20"/>
        <n v="36"/>
        <n v="81"/>
        <n v="91"/>
        <n v="26"/>
        <n v="35"/>
        <n v="85"/>
        <n v="30"/>
        <n v="21"/>
        <n v="95"/>
        <n v="93"/>
        <n v="83"/>
        <n v="86"/>
      </sharedItems>
    </cacheField>
    <cacheField name="result" numFmtId="0">
      <sharedItems count="2">
        <s v="PASS"/>
        <s v="FAIL"/>
      </sharedItems>
    </cacheField>
    <cacheField name="Grade" numFmtId="0">
      <sharedItems count="5">
        <s v="C"/>
        <s v="E"/>
        <s v="D"/>
        <s v="B"/>
        <s v="A"/>
      </sharedItems>
    </cacheField>
    <cacheField name="Performance" numFmtId="0">
      <sharedItems/>
    </cacheField>
    <cacheField name="highest score" numFmtId="0">
      <sharedItems containsSemiMixedTypes="0" containsString="0" containsNumber="1" containsInteger="1" minValue="95" maxValue="95"/>
    </cacheField>
    <cacheField name="average score" numFmtId="0">
      <sharedItems containsSemiMixedTypes="0" containsString="0" containsNumber="1" minValue="55.98" maxValue="55.98"/>
    </cacheField>
    <cacheField name="lowest score" numFmtId="0">
      <sharedItems containsSemiMixedTypes="0" containsString="0" containsNumber="1" containsInteger="1" minValue="20" maxValue="20"/>
    </cacheField>
    <cacheField name="total pass" numFmtId="0">
      <sharedItems containsSemiMixedTypes="0" containsString="0" containsNumber="1" containsInteger="1" minValue="462" maxValue="462"/>
    </cacheField>
    <cacheField name="total fail" numFmtId="0">
      <sharedItems containsSemiMixedTypes="0" containsString="0" containsNumber="1" containsInteger="1" minValue="38" maxValue="38"/>
    </cacheField>
  </cacheFields>
  <extLst>
    <ext xmlns:x14="http://schemas.microsoft.com/office/spreadsheetml/2009/9/main" uri="{725AE2AE-9491-48be-B2B4-4EB974FC3084}">
      <x14:pivotCacheDefinition pivotCacheId="801152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TU0001"/>
    <x v="0"/>
    <n v="15"/>
    <x v="0"/>
    <n v="41"/>
    <x v="0"/>
    <x v="0"/>
    <x v="0"/>
    <s v="Good"/>
    <n v="95"/>
    <n v="55.98"/>
    <n v="20"/>
    <n v="462"/>
    <n v="38"/>
  </r>
  <r>
    <s v="STU0002"/>
    <x v="1"/>
    <n v="15"/>
    <x v="1"/>
    <n v="83"/>
    <x v="1"/>
    <x v="1"/>
    <x v="1"/>
    <s v="Poor"/>
    <n v="95"/>
    <n v="55.98"/>
    <n v="20"/>
    <n v="462"/>
    <n v="38"/>
  </r>
  <r>
    <s v="STU0003"/>
    <x v="1"/>
    <n v="19"/>
    <x v="2"/>
    <n v="73"/>
    <x v="2"/>
    <x v="0"/>
    <x v="1"/>
    <s v="Average"/>
    <n v="95"/>
    <n v="55.98"/>
    <n v="20"/>
    <n v="462"/>
    <n v="38"/>
  </r>
  <r>
    <s v="STU0004"/>
    <x v="0"/>
    <n v="16"/>
    <x v="3"/>
    <n v="75"/>
    <x v="3"/>
    <x v="0"/>
    <x v="0"/>
    <s v="Good"/>
    <n v="95"/>
    <n v="55.98"/>
    <n v="20"/>
    <n v="462"/>
    <n v="38"/>
  </r>
  <r>
    <s v="STU0005"/>
    <x v="1"/>
    <n v="15"/>
    <x v="4"/>
    <n v="67"/>
    <x v="4"/>
    <x v="0"/>
    <x v="0"/>
    <s v="Good"/>
    <n v="95"/>
    <n v="55.98"/>
    <n v="20"/>
    <n v="462"/>
    <n v="38"/>
  </r>
  <r>
    <s v="STU0006"/>
    <x v="1"/>
    <n v="19"/>
    <x v="5"/>
    <n v="40"/>
    <x v="5"/>
    <x v="0"/>
    <x v="1"/>
    <s v="Poor"/>
    <n v="95"/>
    <n v="55.98"/>
    <n v="20"/>
    <n v="462"/>
    <n v="38"/>
  </r>
  <r>
    <s v="STU0007"/>
    <x v="0"/>
    <n v="18"/>
    <x v="6"/>
    <n v="75"/>
    <x v="6"/>
    <x v="0"/>
    <x v="1"/>
    <s v="Average"/>
    <n v="95"/>
    <n v="55.98"/>
    <n v="20"/>
    <n v="462"/>
    <n v="38"/>
  </r>
  <r>
    <s v="STU0008"/>
    <x v="1"/>
    <n v="15"/>
    <x v="7"/>
    <n v="89"/>
    <x v="3"/>
    <x v="0"/>
    <x v="0"/>
    <s v="Good"/>
    <n v="95"/>
    <n v="55.98"/>
    <n v="20"/>
    <n v="462"/>
    <n v="38"/>
  </r>
  <r>
    <s v="STU0009"/>
    <x v="1"/>
    <n v="19"/>
    <x v="8"/>
    <n v="70"/>
    <x v="2"/>
    <x v="0"/>
    <x v="1"/>
    <s v="Average"/>
    <n v="95"/>
    <n v="55.98"/>
    <n v="20"/>
    <n v="462"/>
    <n v="38"/>
  </r>
  <r>
    <s v="STU0010"/>
    <x v="1"/>
    <n v="15"/>
    <x v="9"/>
    <n v="93"/>
    <x v="7"/>
    <x v="0"/>
    <x v="2"/>
    <s v="Average"/>
    <n v="95"/>
    <n v="55.98"/>
    <n v="20"/>
    <n v="462"/>
    <n v="38"/>
  </r>
  <r>
    <s v="STU0011"/>
    <x v="1"/>
    <n v="16"/>
    <x v="10"/>
    <n v="81"/>
    <x v="8"/>
    <x v="0"/>
    <x v="1"/>
    <s v="Average"/>
    <n v="95"/>
    <n v="55.98"/>
    <n v="20"/>
    <n v="462"/>
    <n v="38"/>
  </r>
  <r>
    <s v="STU0012"/>
    <x v="0"/>
    <n v="16"/>
    <x v="11"/>
    <n v="50"/>
    <x v="9"/>
    <x v="0"/>
    <x v="0"/>
    <s v="Good"/>
    <n v="95"/>
    <n v="55.98"/>
    <n v="20"/>
    <n v="462"/>
    <n v="38"/>
  </r>
  <r>
    <s v="STU0013"/>
    <x v="1"/>
    <n v="19"/>
    <x v="12"/>
    <n v="31"/>
    <x v="10"/>
    <x v="0"/>
    <x v="1"/>
    <s v="Poor"/>
    <n v="95"/>
    <n v="55.98"/>
    <n v="20"/>
    <n v="462"/>
    <n v="38"/>
  </r>
  <r>
    <s v="STU0014"/>
    <x v="0"/>
    <n v="19"/>
    <x v="13"/>
    <n v="85"/>
    <x v="11"/>
    <x v="0"/>
    <x v="0"/>
    <s v="Good"/>
    <n v="95"/>
    <n v="55.98"/>
    <n v="20"/>
    <n v="462"/>
    <n v="38"/>
  </r>
  <r>
    <s v="STU0015"/>
    <x v="1"/>
    <n v="15"/>
    <x v="14"/>
    <n v="68"/>
    <x v="12"/>
    <x v="0"/>
    <x v="3"/>
    <s v="Excellent"/>
    <n v="95"/>
    <n v="55.98"/>
    <n v="20"/>
    <n v="462"/>
    <n v="38"/>
  </r>
  <r>
    <s v="STU0016"/>
    <x v="0"/>
    <n v="16"/>
    <x v="15"/>
    <n v="92"/>
    <x v="2"/>
    <x v="0"/>
    <x v="1"/>
    <s v="Average"/>
    <n v="95"/>
    <n v="55.98"/>
    <n v="20"/>
    <n v="462"/>
    <n v="38"/>
  </r>
  <r>
    <s v="STU0017"/>
    <x v="0"/>
    <n v="17"/>
    <x v="16"/>
    <n v="60"/>
    <x v="13"/>
    <x v="0"/>
    <x v="3"/>
    <s v="Excellent"/>
    <n v="95"/>
    <n v="55.98"/>
    <n v="20"/>
    <n v="462"/>
    <n v="38"/>
  </r>
  <r>
    <s v="STU0018"/>
    <x v="0"/>
    <n v="15"/>
    <x v="17"/>
    <n v="90"/>
    <x v="14"/>
    <x v="0"/>
    <x v="0"/>
    <s v="Good"/>
    <n v="95"/>
    <n v="55.98"/>
    <n v="20"/>
    <n v="462"/>
    <n v="38"/>
  </r>
  <r>
    <s v="STU0019"/>
    <x v="0"/>
    <n v="17"/>
    <x v="18"/>
    <n v="69"/>
    <x v="15"/>
    <x v="0"/>
    <x v="0"/>
    <s v="Good"/>
    <n v="95"/>
    <n v="55.98"/>
    <n v="20"/>
    <n v="462"/>
    <n v="38"/>
  </r>
  <r>
    <s v="STU0020"/>
    <x v="1"/>
    <n v="18"/>
    <x v="19"/>
    <n v="38"/>
    <x v="3"/>
    <x v="0"/>
    <x v="0"/>
    <s v="Good"/>
    <n v="95"/>
    <n v="55.98"/>
    <n v="20"/>
    <n v="462"/>
    <n v="38"/>
  </r>
  <r>
    <s v="STU0021"/>
    <x v="0"/>
    <n v="19"/>
    <x v="20"/>
    <n v="37"/>
    <x v="16"/>
    <x v="0"/>
    <x v="1"/>
    <s v="Average"/>
    <n v="95"/>
    <n v="55.98"/>
    <n v="20"/>
    <n v="462"/>
    <n v="38"/>
  </r>
  <r>
    <s v="STU0022"/>
    <x v="0"/>
    <n v="15"/>
    <x v="21"/>
    <n v="92"/>
    <x v="17"/>
    <x v="0"/>
    <x v="0"/>
    <s v="Good"/>
    <n v="95"/>
    <n v="55.98"/>
    <n v="20"/>
    <n v="462"/>
    <n v="38"/>
  </r>
  <r>
    <s v="STU0023"/>
    <x v="0"/>
    <n v="19"/>
    <x v="22"/>
    <n v="42"/>
    <x v="18"/>
    <x v="0"/>
    <x v="1"/>
    <s v="Average"/>
    <n v="95"/>
    <n v="55.98"/>
    <n v="20"/>
    <n v="462"/>
    <n v="38"/>
  </r>
  <r>
    <s v="STU0024"/>
    <x v="1"/>
    <n v="17"/>
    <x v="23"/>
    <n v="81"/>
    <x v="0"/>
    <x v="0"/>
    <x v="0"/>
    <s v="Good"/>
    <n v="95"/>
    <n v="55.98"/>
    <n v="20"/>
    <n v="462"/>
    <n v="38"/>
  </r>
  <r>
    <s v="STU0025"/>
    <x v="1"/>
    <n v="15"/>
    <x v="24"/>
    <n v="84"/>
    <x v="10"/>
    <x v="0"/>
    <x v="1"/>
    <s v="Poor"/>
    <n v="95"/>
    <n v="55.98"/>
    <n v="20"/>
    <n v="462"/>
    <n v="38"/>
  </r>
  <r>
    <s v="STU0026"/>
    <x v="1"/>
    <n v="18"/>
    <x v="25"/>
    <n v="36"/>
    <x v="19"/>
    <x v="0"/>
    <x v="2"/>
    <s v="Average"/>
    <n v="95"/>
    <n v="55.98"/>
    <n v="20"/>
    <n v="462"/>
    <n v="38"/>
  </r>
  <r>
    <s v="STU0027"/>
    <x v="0"/>
    <n v="15"/>
    <x v="26"/>
    <n v="91"/>
    <x v="20"/>
    <x v="0"/>
    <x v="0"/>
    <s v="Good"/>
    <n v="95"/>
    <n v="55.98"/>
    <n v="20"/>
    <n v="462"/>
    <n v="38"/>
  </r>
  <r>
    <s v="STU0028"/>
    <x v="1"/>
    <n v="15"/>
    <x v="27"/>
    <n v="66"/>
    <x v="6"/>
    <x v="0"/>
    <x v="1"/>
    <s v="Average"/>
    <n v="95"/>
    <n v="55.98"/>
    <n v="20"/>
    <n v="462"/>
    <n v="38"/>
  </r>
  <r>
    <s v="STU0029"/>
    <x v="1"/>
    <n v="16"/>
    <x v="28"/>
    <n v="37"/>
    <x v="21"/>
    <x v="1"/>
    <x v="1"/>
    <s v="Poor"/>
    <n v="95"/>
    <n v="55.98"/>
    <n v="20"/>
    <n v="462"/>
    <n v="38"/>
  </r>
  <r>
    <s v="STU0030"/>
    <x v="1"/>
    <n v="19"/>
    <x v="29"/>
    <n v="38"/>
    <x v="22"/>
    <x v="0"/>
    <x v="0"/>
    <s v="Good"/>
    <n v="95"/>
    <n v="55.98"/>
    <n v="20"/>
    <n v="462"/>
    <n v="38"/>
  </r>
  <r>
    <s v="STU0031"/>
    <x v="0"/>
    <n v="16"/>
    <x v="30"/>
    <n v="40"/>
    <x v="23"/>
    <x v="0"/>
    <x v="1"/>
    <s v="Average"/>
    <n v="95"/>
    <n v="55.98"/>
    <n v="20"/>
    <n v="462"/>
    <n v="38"/>
  </r>
  <r>
    <s v="STU0032"/>
    <x v="1"/>
    <n v="17"/>
    <x v="31"/>
    <n v="80"/>
    <x v="6"/>
    <x v="0"/>
    <x v="1"/>
    <s v="Average"/>
    <n v="95"/>
    <n v="55.98"/>
    <n v="20"/>
    <n v="462"/>
    <n v="38"/>
  </r>
  <r>
    <s v="STU0033"/>
    <x v="1"/>
    <n v="18"/>
    <x v="32"/>
    <n v="42"/>
    <x v="6"/>
    <x v="0"/>
    <x v="1"/>
    <s v="Average"/>
    <n v="95"/>
    <n v="55.98"/>
    <n v="20"/>
    <n v="462"/>
    <n v="38"/>
  </r>
  <r>
    <s v="STU0034"/>
    <x v="0"/>
    <n v="19"/>
    <x v="33"/>
    <n v="77"/>
    <x v="24"/>
    <x v="0"/>
    <x v="1"/>
    <s v="Average"/>
    <n v="95"/>
    <n v="55.98"/>
    <n v="20"/>
    <n v="462"/>
    <n v="38"/>
  </r>
  <r>
    <s v="STU0035"/>
    <x v="0"/>
    <n v="18"/>
    <x v="34"/>
    <n v="43"/>
    <x v="25"/>
    <x v="0"/>
    <x v="0"/>
    <s v="Good"/>
    <n v="95"/>
    <n v="55.98"/>
    <n v="20"/>
    <n v="462"/>
    <n v="38"/>
  </r>
  <r>
    <s v="STU0036"/>
    <x v="1"/>
    <n v="15"/>
    <x v="35"/>
    <n v="66"/>
    <x v="22"/>
    <x v="0"/>
    <x v="0"/>
    <s v="Good"/>
    <n v="95"/>
    <n v="55.98"/>
    <n v="20"/>
    <n v="462"/>
    <n v="38"/>
  </r>
  <r>
    <s v="STU0037"/>
    <x v="0"/>
    <n v="17"/>
    <x v="36"/>
    <n v="36"/>
    <x v="26"/>
    <x v="1"/>
    <x v="1"/>
    <s v="Poor"/>
    <n v="95"/>
    <n v="55.98"/>
    <n v="20"/>
    <n v="462"/>
    <n v="38"/>
  </r>
  <r>
    <s v="STU0038"/>
    <x v="1"/>
    <n v="17"/>
    <x v="37"/>
    <n v="86"/>
    <x v="10"/>
    <x v="0"/>
    <x v="1"/>
    <s v="Poor"/>
    <n v="95"/>
    <n v="55.98"/>
    <n v="20"/>
    <n v="462"/>
    <n v="38"/>
  </r>
  <r>
    <s v="STU0039"/>
    <x v="1"/>
    <n v="19"/>
    <x v="38"/>
    <n v="48"/>
    <x v="27"/>
    <x v="1"/>
    <x v="1"/>
    <s v="Poor"/>
    <n v="95"/>
    <n v="55.98"/>
    <n v="20"/>
    <n v="462"/>
    <n v="38"/>
  </r>
  <r>
    <s v="STU0040"/>
    <x v="0"/>
    <n v="15"/>
    <x v="39"/>
    <n v="61"/>
    <x v="28"/>
    <x v="0"/>
    <x v="2"/>
    <s v="Average"/>
    <n v="95"/>
    <n v="55.98"/>
    <n v="20"/>
    <n v="462"/>
    <n v="38"/>
  </r>
  <r>
    <s v="STU0041"/>
    <x v="0"/>
    <n v="17"/>
    <x v="40"/>
    <n v="50"/>
    <x v="29"/>
    <x v="0"/>
    <x v="3"/>
    <s v="Excellent"/>
    <n v="95"/>
    <n v="55.98"/>
    <n v="20"/>
    <n v="462"/>
    <n v="38"/>
  </r>
  <r>
    <s v="STU0042"/>
    <x v="0"/>
    <n v="18"/>
    <x v="41"/>
    <n v="64"/>
    <x v="30"/>
    <x v="1"/>
    <x v="1"/>
    <s v="Poor"/>
    <n v="95"/>
    <n v="55.98"/>
    <n v="20"/>
    <n v="462"/>
    <n v="38"/>
  </r>
  <r>
    <s v="STU0043"/>
    <x v="0"/>
    <n v="18"/>
    <x v="42"/>
    <n v="88"/>
    <x v="17"/>
    <x v="0"/>
    <x v="0"/>
    <s v="Good"/>
    <n v="95"/>
    <n v="55.98"/>
    <n v="20"/>
    <n v="462"/>
    <n v="38"/>
  </r>
  <r>
    <s v="STU0044"/>
    <x v="1"/>
    <n v="16"/>
    <x v="43"/>
    <n v="65"/>
    <x v="1"/>
    <x v="1"/>
    <x v="1"/>
    <s v="Poor"/>
    <n v="95"/>
    <n v="55.98"/>
    <n v="20"/>
    <n v="462"/>
    <n v="38"/>
  </r>
  <r>
    <s v="STU0045"/>
    <x v="1"/>
    <n v="17"/>
    <x v="44"/>
    <n v="44"/>
    <x v="31"/>
    <x v="0"/>
    <x v="2"/>
    <s v="Average"/>
    <n v="95"/>
    <n v="55.98"/>
    <n v="20"/>
    <n v="462"/>
    <n v="38"/>
  </r>
  <r>
    <s v="STU0046"/>
    <x v="0"/>
    <n v="19"/>
    <x v="42"/>
    <n v="70"/>
    <x v="6"/>
    <x v="0"/>
    <x v="1"/>
    <s v="Average"/>
    <n v="95"/>
    <n v="55.98"/>
    <n v="20"/>
    <n v="462"/>
    <n v="38"/>
  </r>
  <r>
    <s v="STU0047"/>
    <x v="0"/>
    <n v="18"/>
    <x v="45"/>
    <n v="30"/>
    <x v="20"/>
    <x v="0"/>
    <x v="0"/>
    <s v="Good"/>
    <n v="95"/>
    <n v="55.98"/>
    <n v="20"/>
    <n v="462"/>
    <n v="38"/>
  </r>
  <r>
    <s v="STU0048"/>
    <x v="0"/>
    <n v="17"/>
    <x v="46"/>
    <n v="68"/>
    <x v="19"/>
    <x v="0"/>
    <x v="2"/>
    <s v="Average"/>
    <n v="95"/>
    <n v="55.98"/>
    <n v="20"/>
    <n v="462"/>
    <n v="38"/>
  </r>
  <r>
    <s v="STU0049"/>
    <x v="1"/>
    <n v="18"/>
    <x v="47"/>
    <n v="83"/>
    <x v="32"/>
    <x v="0"/>
    <x v="0"/>
    <s v="Good"/>
    <n v="95"/>
    <n v="55.98"/>
    <n v="20"/>
    <n v="462"/>
    <n v="38"/>
  </r>
  <r>
    <s v="STU0050"/>
    <x v="1"/>
    <n v="16"/>
    <x v="48"/>
    <n v="66"/>
    <x v="33"/>
    <x v="0"/>
    <x v="2"/>
    <s v="Average"/>
    <n v="95"/>
    <n v="55.98"/>
    <n v="20"/>
    <n v="462"/>
    <n v="38"/>
  </r>
  <r>
    <s v="STU0051"/>
    <x v="1"/>
    <n v="19"/>
    <x v="49"/>
    <n v="57"/>
    <x v="34"/>
    <x v="0"/>
    <x v="0"/>
    <s v="Good"/>
    <n v="95"/>
    <n v="55.98"/>
    <n v="20"/>
    <n v="462"/>
    <n v="38"/>
  </r>
  <r>
    <s v="STU0052"/>
    <x v="1"/>
    <n v="16"/>
    <x v="50"/>
    <n v="60"/>
    <x v="34"/>
    <x v="0"/>
    <x v="0"/>
    <s v="Good"/>
    <n v="95"/>
    <n v="55.98"/>
    <n v="20"/>
    <n v="462"/>
    <n v="38"/>
  </r>
  <r>
    <s v="STU0053"/>
    <x v="1"/>
    <n v="16"/>
    <x v="51"/>
    <n v="90"/>
    <x v="35"/>
    <x v="0"/>
    <x v="3"/>
    <s v="Excellent"/>
    <n v="95"/>
    <n v="55.98"/>
    <n v="20"/>
    <n v="462"/>
    <n v="38"/>
  </r>
  <r>
    <s v="STU0054"/>
    <x v="0"/>
    <n v="18"/>
    <x v="52"/>
    <n v="93"/>
    <x v="36"/>
    <x v="0"/>
    <x v="0"/>
    <s v="Good"/>
    <n v="95"/>
    <n v="55.98"/>
    <n v="20"/>
    <n v="462"/>
    <n v="38"/>
  </r>
  <r>
    <s v="STU0055"/>
    <x v="0"/>
    <n v="16"/>
    <x v="36"/>
    <n v="52"/>
    <x v="22"/>
    <x v="0"/>
    <x v="0"/>
    <s v="Good"/>
    <n v="95"/>
    <n v="55.98"/>
    <n v="20"/>
    <n v="462"/>
    <n v="38"/>
  </r>
  <r>
    <s v="STU0056"/>
    <x v="1"/>
    <n v="15"/>
    <x v="53"/>
    <n v="89"/>
    <x v="37"/>
    <x v="0"/>
    <x v="0"/>
    <s v="Good"/>
    <n v="95"/>
    <n v="55.98"/>
    <n v="20"/>
    <n v="462"/>
    <n v="38"/>
  </r>
  <r>
    <s v="STU0057"/>
    <x v="1"/>
    <n v="18"/>
    <x v="54"/>
    <n v="50"/>
    <x v="38"/>
    <x v="0"/>
    <x v="0"/>
    <s v="Good"/>
    <n v="95"/>
    <n v="55.98"/>
    <n v="20"/>
    <n v="462"/>
    <n v="38"/>
  </r>
  <r>
    <s v="STU0058"/>
    <x v="1"/>
    <n v="18"/>
    <x v="55"/>
    <n v="65"/>
    <x v="19"/>
    <x v="0"/>
    <x v="2"/>
    <s v="Average"/>
    <n v="95"/>
    <n v="55.98"/>
    <n v="20"/>
    <n v="462"/>
    <n v="38"/>
  </r>
  <r>
    <s v="STU0059"/>
    <x v="0"/>
    <n v="17"/>
    <x v="56"/>
    <n v="49"/>
    <x v="39"/>
    <x v="0"/>
    <x v="1"/>
    <s v="Poor"/>
    <n v="95"/>
    <n v="55.98"/>
    <n v="20"/>
    <n v="462"/>
    <n v="38"/>
  </r>
  <r>
    <s v="STU0060"/>
    <x v="1"/>
    <n v="16"/>
    <x v="57"/>
    <n v="89"/>
    <x v="3"/>
    <x v="0"/>
    <x v="0"/>
    <s v="Good"/>
    <n v="95"/>
    <n v="55.98"/>
    <n v="20"/>
    <n v="462"/>
    <n v="38"/>
  </r>
  <r>
    <s v="STU0061"/>
    <x v="0"/>
    <n v="16"/>
    <x v="58"/>
    <n v="91"/>
    <x v="36"/>
    <x v="0"/>
    <x v="0"/>
    <s v="Good"/>
    <n v="95"/>
    <n v="55.98"/>
    <n v="20"/>
    <n v="462"/>
    <n v="38"/>
  </r>
  <r>
    <s v="STU0062"/>
    <x v="1"/>
    <n v="17"/>
    <x v="59"/>
    <n v="58"/>
    <x v="11"/>
    <x v="0"/>
    <x v="0"/>
    <s v="Good"/>
    <n v="95"/>
    <n v="55.98"/>
    <n v="20"/>
    <n v="462"/>
    <n v="38"/>
  </r>
  <r>
    <s v="STU0063"/>
    <x v="1"/>
    <n v="18"/>
    <x v="60"/>
    <n v="46"/>
    <x v="5"/>
    <x v="0"/>
    <x v="1"/>
    <s v="Poor"/>
    <n v="95"/>
    <n v="55.98"/>
    <n v="20"/>
    <n v="462"/>
    <n v="38"/>
  </r>
  <r>
    <s v="STU0064"/>
    <x v="0"/>
    <n v="18"/>
    <x v="61"/>
    <n v="47"/>
    <x v="32"/>
    <x v="0"/>
    <x v="0"/>
    <s v="Good"/>
    <n v="95"/>
    <n v="55.98"/>
    <n v="20"/>
    <n v="462"/>
    <n v="38"/>
  </r>
  <r>
    <s v="STU0065"/>
    <x v="0"/>
    <n v="15"/>
    <x v="62"/>
    <n v="73"/>
    <x v="33"/>
    <x v="0"/>
    <x v="2"/>
    <s v="Average"/>
    <n v="95"/>
    <n v="55.98"/>
    <n v="20"/>
    <n v="462"/>
    <n v="38"/>
  </r>
  <r>
    <s v="STU0066"/>
    <x v="1"/>
    <n v="17"/>
    <x v="63"/>
    <n v="90"/>
    <x v="37"/>
    <x v="0"/>
    <x v="0"/>
    <s v="Good"/>
    <n v="95"/>
    <n v="55.98"/>
    <n v="20"/>
    <n v="462"/>
    <n v="38"/>
  </r>
  <r>
    <s v="STU0067"/>
    <x v="0"/>
    <n v="17"/>
    <x v="64"/>
    <n v="55"/>
    <x v="39"/>
    <x v="0"/>
    <x v="1"/>
    <s v="Poor"/>
    <n v="95"/>
    <n v="55.98"/>
    <n v="20"/>
    <n v="462"/>
    <n v="38"/>
  </r>
  <r>
    <s v="STU0068"/>
    <x v="0"/>
    <n v="16"/>
    <x v="65"/>
    <n v="62"/>
    <x v="40"/>
    <x v="0"/>
    <x v="2"/>
    <s v="Average"/>
    <n v="95"/>
    <n v="55.98"/>
    <n v="20"/>
    <n v="462"/>
    <n v="38"/>
  </r>
  <r>
    <s v="STU0069"/>
    <x v="1"/>
    <n v="16"/>
    <x v="66"/>
    <n v="43"/>
    <x v="0"/>
    <x v="0"/>
    <x v="0"/>
    <s v="Good"/>
    <n v="95"/>
    <n v="55.98"/>
    <n v="20"/>
    <n v="462"/>
    <n v="38"/>
  </r>
  <r>
    <s v="STU0070"/>
    <x v="0"/>
    <n v="17"/>
    <x v="67"/>
    <n v="39"/>
    <x v="15"/>
    <x v="0"/>
    <x v="0"/>
    <s v="Good"/>
    <n v="95"/>
    <n v="55.98"/>
    <n v="20"/>
    <n v="462"/>
    <n v="38"/>
  </r>
  <r>
    <s v="STU0071"/>
    <x v="0"/>
    <n v="15"/>
    <x v="68"/>
    <n v="74"/>
    <x v="14"/>
    <x v="0"/>
    <x v="0"/>
    <s v="Good"/>
    <n v="95"/>
    <n v="55.98"/>
    <n v="20"/>
    <n v="462"/>
    <n v="38"/>
  </r>
  <r>
    <s v="STU0072"/>
    <x v="1"/>
    <n v="17"/>
    <x v="69"/>
    <n v="92"/>
    <x v="39"/>
    <x v="0"/>
    <x v="1"/>
    <s v="Poor"/>
    <n v="95"/>
    <n v="55.98"/>
    <n v="20"/>
    <n v="462"/>
    <n v="38"/>
  </r>
  <r>
    <s v="STU0073"/>
    <x v="1"/>
    <n v="17"/>
    <x v="70"/>
    <n v="52"/>
    <x v="14"/>
    <x v="0"/>
    <x v="0"/>
    <s v="Good"/>
    <n v="95"/>
    <n v="55.98"/>
    <n v="20"/>
    <n v="462"/>
    <n v="38"/>
  </r>
  <r>
    <s v="STU0074"/>
    <x v="1"/>
    <n v="19"/>
    <x v="71"/>
    <n v="64"/>
    <x v="4"/>
    <x v="0"/>
    <x v="0"/>
    <s v="Good"/>
    <n v="95"/>
    <n v="55.98"/>
    <n v="20"/>
    <n v="462"/>
    <n v="38"/>
  </r>
  <r>
    <s v="STU0075"/>
    <x v="0"/>
    <n v="15"/>
    <x v="72"/>
    <n v="73"/>
    <x v="6"/>
    <x v="0"/>
    <x v="1"/>
    <s v="Average"/>
    <n v="95"/>
    <n v="55.98"/>
    <n v="20"/>
    <n v="462"/>
    <n v="38"/>
  </r>
  <r>
    <s v="STU0076"/>
    <x v="1"/>
    <n v="17"/>
    <x v="73"/>
    <n v="65"/>
    <x v="2"/>
    <x v="0"/>
    <x v="1"/>
    <s v="Average"/>
    <n v="95"/>
    <n v="55.98"/>
    <n v="20"/>
    <n v="462"/>
    <n v="38"/>
  </r>
  <r>
    <s v="STU0077"/>
    <x v="1"/>
    <n v="19"/>
    <x v="74"/>
    <n v="82"/>
    <x v="6"/>
    <x v="0"/>
    <x v="1"/>
    <s v="Average"/>
    <n v="95"/>
    <n v="55.98"/>
    <n v="20"/>
    <n v="462"/>
    <n v="38"/>
  </r>
  <r>
    <s v="STU0078"/>
    <x v="0"/>
    <n v="18"/>
    <x v="75"/>
    <n v="67"/>
    <x v="11"/>
    <x v="0"/>
    <x v="0"/>
    <s v="Good"/>
    <n v="95"/>
    <n v="55.98"/>
    <n v="20"/>
    <n v="462"/>
    <n v="38"/>
  </r>
  <r>
    <s v="STU0079"/>
    <x v="1"/>
    <n v="16"/>
    <x v="76"/>
    <n v="84"/>
    <x v="36"/>
    <x v="0"/>
    <x v="0"/>
    <s v="Good"/>
    <n v="95"/>
    <n v="55.98"/>
    <n v="20"/>
    <n v="462"/>
    <n v="38"/>
  </r>
  <r>
    <s v="STU0080"/>
    <x v="1"/>
    <n v="17"/>
    <x v="6"/>
    <n v="45"/>
    <x v="41"/>
    <x v="0"/>
    <x v="0"/>
    <s v="Good"/>
    <n v="95"/>
    <n v="55.98"/>
    <n v="20"/>
    <n v="462"/>
    <n v="38"/>
  </r>
  <r>
    <s v="STU0081"/>
    <x v="0"/>
    <n v="17"/>
    <x v="77"/>
    <n v="91"/>
    <x v="8"/>
    <x v="0"/>
    <x v="1"/>
    <s v="Average"/>
    <n v="95"/>
    <n v="55.98"/>
    <n v="20"/>
    <n v="462"/>
    <n v="38"/>
  </r>
  <r>
    <s v="STU0082"/>
    <x v="1"/>
    <n v="15"/>
    <x v="78"/>
    <n v="68"/>
    <x v="42"/>
    <x v="0"/>
    <x v="2"/>
    <s v="Average"/>
    <n v="95"/>
    <n v="55.98"/>
    <n v="20"/>
    <n v="462"/>
    <n v="38"/>
  </r>
  <r>
    <s v="STU0083"/>
    <x v="0"/>
    <n v="17"/>
    <x v="79"/>
    <n v="92"/>
    <x v="43"/>
    <x v="0"/>
    <x v="1"/>
    <s v="Average"/>
    <n v="95"/>
    <n v="55.98"/>
    <n v="20"/>
    <n v="462"/>
    <n v="38"/>
  </r>
  <r>
    <s v="STU0084"/>
    <x v="0"/>
    <n v="19"/>
    <x v="80"/>
    <n v="36"/>
    <x v="10"/>
    <x v="0"/>
    <x v="1"/>
    <s v="Poor"/>
    <n v="95"/>
    <n v="55.98"/>
    <n v="20"/>
    <n v="462"/>
    <n v="38"/>
  </r>
  <r>
    <s v="STU0085"/>
    <x v="1"/>
    <n v="15"/>
    <x v="81"/>
    <n v="49"/>
    <x v="7"/>
    <x v="0"/>
    <x v="2"/>
    <s v="Average"/>
    <n v="95"/>
    <n v="55.98"/>
    <n v="20"/>
    <n v="462"/>
    <n v="38"/>
  </r>
  <r>
    <s v="STU0086"/>
    <x v="1"/>
    <n v="15"/>
    <x v="82"/>
    <n v="87"/>
    <x v="16"/>
    <x v="0"/>
    <x v="1"/>
    <s v="Average"/>
    <n v="95"/>
    <n v="55.98"/>
    <n v="20"/>
    <n v="462"/>
    <n v="38"/>
  </r>
  <r>
    <s v="STU0087"/>
    <x v="1"/>
    <n v="19"/>
    <x v="83"/>
    <n v="56"/>
    <x v="42"/>
    <x v="0"/>
    <x v="2"/>
    <s v="Average"/>
    <n v="95"/>
    <n v="55.98"/>
    <n v="20"/>
    <n v="462"/>
    <n v="38"/>
  </r>
  <r>
    <s v="STU0088"/>
    <x v="0"/>
    <n v="17"/>
    <x v="84"/>
    <n v="50"/>
    <x v="44"/>
    <x v="0"/>
    <x v="1"/>
    <s v="Average"/>
    <n v="95"/>
    <n v="55.98"/>
    <n v="20"/>
    <n v="462"/>
    <n v="38"/>
  </r>
  <r>
    <s v="STU0089"/>
    <x v="1"/>
    <n v="18"/>
    <x v="85"/>
    <n v="66"/>
    <x v="35"/>
    <x v="0"/>
    <x v="3"/>
    <s v="Excellent"/>
    <n v="95"/>
    <n v="55.98"/>
    <n v="20"/>
    <n v="462"/>
    <n v="38"/>
  </r>
  <r>
    <s v="STU0090"/>
    <x v="1"/>
    <n v="18"/>
    <x v="36"/>
    <n v="44"/>
    <x v="6"/>
    <x v="0"/>
    <x v="1"/>
    <s v="Average"/>
    <n v="95"/>
    <n v="55.98"/>
    <n v="20"/>
    <n v="462"/>
    <n v="38"/>
  </r>
  <r>
    <s v="STU0091"/>
    <x v="0"/>
    <n v="16"/>
    <x v="86"/>
    <n v="69"/>
    <x v="45"/>
    <x v="0"/>
    <x v="0"/>
    <s v="Good"/>
    <n v="95"/>
    <n v="55.98"/>
    <n v="20"/>
    <n v="462"/>
    <n v="38"/>
  </r>
  <r>
    <s v="STU0092"/>
    <x v="1"/>
    <n v="18"/>
    <x v="87"/>
    <n v="94"/>
    <x v="46"/>
    <x v="0"/>
    <x v="2"/>
    <s v="Average"/>
    <n v="95"/>
    <n v="55.98"/>
    <n v="20"/>
    <n v="462"/>
    <n v="38"/>
  </r>
  <r>
    <s v="STU0093"/>
    <x v="1"/>
    <n v="18"/>
    <x v="88"/>
    <n v="33"/>
    <x v="30"/>
    <x v="1"/>
    <x v="1"/>
    <s v="Poor"/>
    <n v="95"/>
    <n v="55.98"/>
    <n v="20"/>
    <n v="462"/>
    <n v="38"/>
  </r>
  <r>
    <s v="STU0094"/>
    <x v="0"/>
    <n v="19"/>
    <x v="89"/>
    <n v="90"/>
    <x v="22"/>
    <x v="0"/>
    <x v="0"/>
    <s v="Good"/>
    <n v="95"/>
    <n v="55.98"/>
    <n v="20"/>
    <n v="462"/>
    <n v="38"/>
  </r>
  <r>
    <s v="STU0095"/>
    <x v="1"/>
    <n v="17"/>
    <x v="90"/>
    <n v="90"/>
    <x v="47"/>
    <x v="0"/>
    <x v="2"/>
    <s v="Average"/>
    <n v="95"/>
    <n v="55.98"/>
    <n v="20"/>
    <n v="462"/>
    <n v="38"/>
  </r>
  <r>
    <s v="STU0096"/>
    <x v="1"/>
    <n v="17"/>
    <x v="31"/>
    <n v="93"/>
    <x v="28"/>
    <x v="0"/>
    <x v="2"/>
    <s v="Average"/>
    <n v="95"/>
    <n v="55.98"/>
    <n v="20"/>
    <n v="462"/>
    <n v="38"/>
  </r>
  <r>
    <s v="STU0097"/>
    <x v="1"/>
    <n v="19"/>
    <x v="6"/>
    <n v="44"/>
    <x v="8"/>
    <x v="0"/>
    <x v="1"/>
    <s v="Average"/>
    <n v="95"/>
    <n v="55.98"/>
    <n v="20"/>
    <n v="462"/>
    <n v="38"/>
  </r>
  <r>
    <s v="STU0098"/>
    <x v="1"/>
    <n v="19"/>
    <x v="91"/>
    <n v="36"/>
    <x v="3"/>
    <x v="0"/>
    <x v="0"/>
    <s v="Good"/>
    <n v="95"/>
    <n v="55.98"/>
    <n v="20"/>
    <n v="462"/>
    <n v="38"/>
  </r>
  <r>
    <s v="STU0099"/>
    <x v="1"/>
    <n v="19"/>
    <x v="92"/>
    <n v="64"/>
    <x v="38"/>
    <x v="0"/>
    <x v="0"/>
    <s v="Good"/>
    <n v="95"/>
    <n v="55.98"/>
    <n v="20"/>
    <n v="462"/>
    <n v="38"/>
  </r>
  <r>
    <s v="STU0100"/>
    <x v="0"/>
    <n v="17"/>
    <x v="93"/>
    <n v="60"/>
    <x v="37"/>
    <x v="0"/>
    <x v="0"/>
    <s v="Good"/>
    <n v="95"/>
    <n v="55.98"/>
    <n v="20"/>
    <n v="462"/>
    <n v="38"/>
  </r>
  <r>
    <s v="STU0101"/>
    <x v="0"/>
    <n v="17"/>
    <x v="94"/>
    <n v="44"/>
    <x v="48"/>
    <x v="0"/>
    <x v="2"/>
    <s v="Average"/>
    <n v="95"/>
    <n v="55.98"/>
    <n v="20"/>
    <n v="462"/>
    <n v="38"/>
  </r>
  <r>
    <s v="STU0102"/>
    <x v="0"/>
    <n v="16"/>
    <x v="95"/>
    <n v="91"/>
    <x v="17"/>
    <x v="0"/>
    <x v="0"/>
    <s v="Good"/>
    <n v="95"/>
    <n v="55.98"/>
    <n v="20"/>
    <n v="462"/>
    <n v="38"/>
  </r>
  <r>
    <s v="STU0103"/>
    <x v="0"/>
    <n v="18"/>
    <x v="96"/>
    <n v="65"/>
    <x v="0"/>
    <x v="0"/>
    <x v="0"/>
    <s v="Good"/>
    <n v="95"/>
    <n v="55.98"/>
    <n v="20"/>
    <n v="462"/>
    <n v="38"/>
  </r>
  <r>
    <s v="STU0104"/>
    <x v="1"/>
    <n v="17"/>
    <x v="97"/>
    <n v="92"/>
    <x v="3"/>
    <x v="0"/>
    <x v="0"/>
    <s v="Good"/>
    <n v="95"/>
    <n v="55.98"/>
    <n v="20"/>
    <n v="462"/>
    <n v="38"/>
  </r>
  <r>
    <s v="STU0105"/>
    <x v="1"/>
    <n v="19"/>
    <x v="98"/>
    <n v="71"/>
    <x v="46"/>
    <x v="0"/>
    <x v="2"/>
    <s v="Average"/>
    <n v="95"/>
    <n v="55.98"/>
    <n v="20"/>
    <n v="462"/>
    <n v="38"/>
  </r>
  <r>
    <s v="STU0106"/>
    <x v="0"/>
    <n v="19"/>
    <x v="99"/>
    <n v="90"/>
    <x v="11"/>
    <x v="0"/>
    <x v="0"/>
    <s v="Good"/>
    <n v="95"/>
    <n v="55.98"/>
    <n v="20"/>
    <n v="462"/>
    <n v="38"/>
  </r>
  <r>
    <s v="STU0107"/>
    <x v="1"/>
    <n v="18"/>
    <x v="100"/>
    <n v="46"/>
    <x v="37"/>
    <x v="0"/>
    <x v="0"/>
    <s v="Good"/>
    <n v="95"/>
    <n v="55.98"/>
    <n v="20"/>
    <n v="462"/>
    <n v="38"/>
  </r>
  <r>
    <s v="STU0108"/>
    <x v="1"/>
    <n v="15"/>
    <x v="101"/>
    <n v="48"/>
    <x v="22"/>
    <x v="0"/>
    <x v="0"/>
    <s v="Good"/>
    <n v="95"/>
    <n v="55.98"/>
    <n v="20"/>
    <n v="462"/>
    <n v="38"/>
  </r>
  <r>
    <s v="STU0109"/>
    <x v="0"/>
    <n v="15"/>
    <x v="102"/>
    <n v="40"/>
    <x v="28"/>
    <x v="0"/>
    <x v="2"/>
    <s v="Average"/>
    <n v="95"/>
    <n v="55.98"/>
    <n v="20"/>
    <n v="462"/>
    <n v="38"/>
  </r>
  <r>
    <s v="STU0110"/>
    <x v="1"/>
    <n v="17"/>
    <x v="103"/>
    <n v="60"/>
    <x v="20"/>
    <x v="0"/>
    <x v="0"/>
    <s v="Good"/>
    <n v="95"/>
    <n v="55.98"/>
    <n v="20"/>
    <n v="462"/>
    <n v="38"/>
  </r>
  <r>
    <s v="STU0111"/>
    <x v="1"/>
    <n v="16"/>
    <x v="104"/>
    <n v="51"/>
    <x v="37"/>
    <x v="0"/>
    <x v="0"/>
    <s v="Good"/>
    <n v="95"/>
    <n v="55.98"/>
    <n v="20"/>
    <n v="462"/>
    <n v="38"/>
  </r>
  <r>
    <s v="STU0112"/>
    <x v="1"/>
    <n v="15"/>
    <x v="105"/>
    <n v="77"/>
    <x v="5"/>
    <x v="0"/>
    <x v="1"/>
    <s v="Poor"/>
    <n v="95"/>
    <n v="55.98"/>
    <n v="20"/>
    <n v="462"/>
    <n v="38"/>
  </r>
  <r>
    <s v="STU0113"/>
    <x v="0"/>
    <n v="16"/>
    <x v="23"/>
    <n v="40"/>
    <x v="45"/>
    <x v="0"/>
    <x v="0"/>
    <s v="Good"/>
    <n v="95"/>
    <n v="55.98"/>
    <n v="20"/>
    <n v="462"/>
    <n v="38"/>
  </r>
  <r>
    <s v="STU0114"/>
    <x v="1"/>
    <n v="19"/>
    <x v="106"/>
    <n v="89"/>
    <x v="20"/>
    <x v="0"/>
    <x v="0"/>
    <s v="Good"/>
    <n v="95"/>
    <n v="55.98"/>
    <n v="20"/>
    <n v="462"/>
    <n v="38"/>
  </r>
  <r>
    <s v="STU0115"/>
    <x v="1"/>
    <n v="18"/>
    <x v="107"/>
    <n v="39"/>
    <x v="16"/>
    <x v="0"/>
    <x v="1"/>
    <s v="Average"/>
    <n v="95"/>
    <n v="55.98"/>
    <n v="20"/>
    <n v="462"/>
    <n v="38"/>
  </r>
  <r>
    <s v="STU0116"/>
    <x v="1"/>
    <n v="19"/>
    <x v="108"/>
    <n v="68"/>
    <x v="44"/>
    <x v="0"/>
    <x v="1"/>
    <s v="Average"/>
    <n v="95"/>
    <n v="55.98"/>
    <n v="20"/>
    <n v="462"/>
    <n v="38"/>
  </r>
  <r>
    <s v="STU0117"/>
    <x v="1"/>
    <n v="18"/>
    <x v="109"/>
    <n v="67"/>
    <x v="21"/>
    <x v="1"/>
    <x v="1"/>
    <s v="Poor"/>
    <n v="95"/>
    <n v="55.98"/>
    <n v="20"/>
    <n v="462"/>
    <n v="38"/>
  </r>
  <r>
    <s v="STU0118"/>
    <x v="1"/>
    <n v="17"/>
    <x v="110"/>
    <n v="59"/>
    <x v="6"/>
    <x v="0"/>
    <x v="1"/>
    <s v="Average"/>
    <n v="95"/>
    <n v="55.98"/>
    <n v="20"/>
    <n v="462"/>
    <n v="38"/>
  </r>
  <r>
    <s v="STU0119"/>
    <x v="1"/>
    <n v="16"/>
    <x v="111"/>
    <n v="35"/>
    <x v="48"/>
    <x v="0"/>
    <x v="2"/>
    <s v="Average"/>
    <n v="95"/>
    <n v="55.98"/>
    <n v="20"/>
    <n v="462"/>
    <n v="38"/>
  </r>
  <r>
    <s v="STU0120"/>
    <x v="1"/>
    <n v="15"/>
    <x v="39"/>
    <n v="71"/>
    <x v="17"/>
    <x v="0"/>
    <x v="0"/>
    <s v="Good"/>
    <n v="95"/>
    <n v="55.98"/>
    <n v="20"/>
    <n v="462"/>
    <n v="38"/>
  </r>
  <r>
    <s v="STU0121"/>
    <x v="1"/>
    <n v="16"/>
    <x v="33"/>
    <n v="51"/>
    <x v="49"/>
    <x v="1"/>
    <x v="1"/>
    <s v="Poor"/>
    <n v="95"/>
    <n v="55.98"/>
    <n v="20"/>
    <n v="462"/>
    <n v="38"/>
  </r>
  <r>
    <s v="STU0122"/>
    <x v="1"/>
    <n v="17"/>
    <x v="112"/>
    <n v="48"/>
    <x v="12"/>
    <x v="0"/>
    <x v="3"/>
    <s v="Excellent"/>
    <n v="95"/>
    <n v="55.98"/>
    <n v="20"/>
    <n v="462"/>
    <n v="38"/>
  </r>
  <r>
    <s v="STU0123"/>
    <x v="0"/>
    <n v="18"/>
    <x v="113"/>
    <n v="31"/>
    <x v="9"/>
    <x v="0"/>
    <x v="0"/>
    <s v="Good"/>
    <n v="95"/>
    <n v="55.98"/>
    <n v="20"/>
    <n v="462"/>
    <n v="38"/>
  </r>
  <r>
    <s v="STU0124"/>
    <x v="0"/>
    <n v="18"/>
    <x v="114"/>
    <n v="43"/>
    <x v="33"/>
    <x v="0"/>
    <x v="2"/>
    <s v="Average"/>
    <n v="95"/>
    <n v="55.98"/>
    <n v="20"/>
    <n v="462"/>
    <n v="38"/>
  </r>
  <r>
    <s v="STU0125"/>
    <x v="0"/>
    <n v="18"/>
    <x v="115"/>
    <n v="38"/>
    <x v="50"/>
    <x v="0"/>
    <x v="1"/>
    <s v="Poor"/>
    <n v="95"/>
    <n v="55.98"/>
    <n v="20"/>
    <n v="462"/>
    <n v="38"/>
  </r>
  <r>
    <s v="STU0126"/>
    <x v="1"/>
    <n v="17"/>
    <x v="116"/>
    <n v="68"/>
    <x v="0"/>
    <x v="0"/>
    <x v="0"/>
    <s v="Good"/>
    <n v="95"/>
    <n v="55.98"/>
    <n v="20"/>
    <n v="462"/>
    <n v="38"/>
  </r>
  <r>
    <s v="STU0127"/>
    <x v="0"/>
    <n v="15"/>
    <x v="117"/>
    <n v="77"/>
    <x v="51"/>
    <x v="0"/>
    <x v="0"/>
    <s v="Good"/>
    <n v="95"/>
    <n v="55.98"/>
    <n v="20"/>
    <n v="462"/>
    <n v="38"/>
  </r>
  <r>
    <s v="STU0128"/>
    <x v="1"/>
    <n v="19"/>
    <x v="118"/>
    <n v="82"/>
    <x v="17"/>
    <x v="0"/>
    <x v="0"/>
    <s v="Good"/>
    <n v="95"/>
    <n v="55.98"/>
    <n v="20"/>
    <n v="462"/>
    <n v="38"/>
  </r>
  <r>
    <s v="STU0129"/>
    <x v="0"/>
    <n v="17"/>
    <x v="119"/>
    <n v="77"/>
    <x v="48"/>
    <x v="0"/>
    <x v="2"/>
    <s v="Average"/>
    <n v="95"/>
    <n v="55.98"/>
    <n v="20"/>
    <n v="462"/>
    <n v="38"/>
  </r>
  <r>
    <s v="STU0130"/>
    <x v="1"/>
    <n v="15"/>
    <x v="0"/>
    <n v="57"/>
    <x v="7"/>
    <x v="0"/>
    <x v="2"/>
    <s v="Average"/>
    <n v="95"/>
    <n v="55.98"/>
    <n v="20"/>
    <n v="462"/>
    <n v="38"/>
  </r>
  <r>
    <s v="STU0131"/>
    <x v="0"/>
    <n v="15"/>
    <x v="120"/>
    <n v="56"/>
    <x v="41"/>
    <x v="0"/>
    <x v="0"/>
    <s v="Good"/>
    <n v="95"/>
    <n v="55.98"/>
    <n v="20"/>
    <n v="462"/>
    <n v="38"/>
  </r>
  <r>
    <s v="STU0132"/>
    <x v="0"/>
    <n v="16"/>
    <x v="121"/>
    <n v="48"/>
    <x v="23"/>
    <x v="0"/>
    <x v="1"/>
    <s v="Average"/>
    <n v="95"/>
    <n v="55.98"/>
    <n v="20"/>
    <n v="462"/>
    <n v="38"/>
  </r>
  <r>
    <s v="STU0133"/>
    <x v="1"/>
    <n v="16"/>
    <x v="122"/>
    <n v="75"/>
    <x v="31"/>
    <x v="0"/>
    <x v="2"/>
    <s v="Average"/>
    <n v="95"/>
    <n v="55.98"/>
    <n v="20"/>
    <n v="462"/>
    <n v="38"/>
  </r>
  <r>
    <s v="STU0134"/>
    <x v="0"/>
    <n v="19"/>
    <x v="123"/>
    <n v="83"/>
    <x v="46"/>
    <x v="0"/>
    <x v="2"/>
    <s v="Average"/>
    <n v="95"/>
    <n v="55.98"/>
    <n v="20"/>
    <n v="462"/>
    <n v="38"/>
  </r>
  <r>
    <s v="STU0135"/>
    <x v="0"/>
    <n v="15"/>
    <x v="124"/>
    <n v="94"/>
    <x v="42"/>
    <x v="0"/>
    <x v="2"/>
    <s v="Average"/>
    <n v="95"/>
    <n v="55.98"/>
    <n v="20"/>
    <n v="462"/>
    <n v="38"/>
  </r>
  <r>
    <s v="STU0136"/>
    <x v="0"/>
    <n v="19"/>
    <x v="125"/>
    <n v="81"/>
    <x v="40"/>
    <x v="0"/>
    <x v="2"/>
    <s v="Average"/>
    <n v="95"/>
    <n v="55.98"/>
    <n v="20"/>
    <n v="462"/>
    <n v="38"/>
  </r>
  <r>
    <s v="STU0137"/>
    <x v="0"/>
    <n v="18"/>
    <x v="126"/>
    <n v="48"/>
    <x v="32"/>
    <x v="0"/>
    <x v="0"/>
    <s v="Good"/>
    <n v="95"/>
    <n v="55.98"/>
    <n v="20"/>
    <n v="462"/>
    <n v="38"/>
  </r>
  <r>
    <s v="STU0138"/>
    <x v="0"/>
    <n v="17"/>
    <x v="7"/>
    <n v="67"/>
    <x v="34"/>
    <x v="0"/>
    <x v="0"/>
    <s v="Good"/>
    <n v="95"/>
    <n v="55.98"/>
    <n v="20"/>
    <n v="462"/>
    <n v="38"/>
  </r>
  <r>
    <s v="STU0139"/>
    <x v="1"/>
    <n v="15"/>
    <x v="127"/>
    <n v="87"/>
    <x v="20"/>
    <x v="0"/>
    <x v="0"/>
    <s v="Good"/>
    <n v="95"/>
    <n v="55.98"/>
    <n v="20"/>
    <n v="462"/>
    <n v="38"/>
  </r>
  <r>
    <s v="STU0140"/>
    <x v="1"/>
    <n v="17"/>
    <x v="6"/>
    <n v="84"/>
    <x v="20"/>
    <x v="0"/>
    <x v="0"/>
    <s v="Good"/>
    <n v="95"/>
    <n v="55.98"/>
    <n v="20"/>
    <n v="462"/>
    <n v="38"/>
  </r>
  <r>
    <s v="STU0141"/>
    <x v="1"/>
    <n v="17"/>
    <x v="128"/>
    <n v="40"/>
    <x v="52"/>
    <x v="1"/>
    <x v="1"/>
    <s v="Poor"/>
    <n v="95"/>
    <n v="55.98"/>
    <n v="20"/>
    <n v="462"/>
    <n v="38"/>
  </r>
  <r>
    <s v="STU0142"/>
    <x v="1"/>
    <n v="15"/>
    <x v="129"/>
    <n v="45"/>
    <x v="3"/>
    <x v="0"/>
    <x v="0"/>
    <s v="Good"/>
    <n v="95"/>
    <n v="55.98"/>
    <n v="20"/>
    <n v="462"/>
    <n v="38"/>
  </r>
  <r>
    <s v="STU0143"/>
    <x v="1"/>
    <n v="18"/>
    <x v="130"/>
    <n v="75"/>
    <x v="20"/>
    <x v="0"/>
    <x v="0"/>
    <s v="Good"/>
    <n v="95"/>
    <n v="55.98"/>
    <n v="20"/>
    <n v="462"/>
    <n v="38"/>
  </r>
  <r>
    <s v="STU0144"/>
    <x v="0"/>
    <n v="16"/>
    <x v="131"/>
    <n v="44"/>
    <x v="41"/>
    <x v="0"/>
    <x v="0"/>
    <s v="Good"/>
    <n v="95"/>
    <n v="55.98"/>
    <n v="20"/>
    <n v="462"/>
    <n v="38"/>
  </r>
  <r>
    <s v="STU0145"/>
    <x v="1"/>
    <n v="19"/>
    <x v="132"/>
    <n v="33"/>
    <x v="5"/>
    <x v="0"/>
    <x v="1"/>
    <s v="Poor"/>
    <n v="95"/>
    <n v="55.98"/>
    <n v="20"/>
    <n v="462"/>
    <n v="38"/>
  </r>
  <r>
    <s v="STU0146"/>
    <x v="1"/>
    <n v="17"/>
    <x v="133"/>
    <n v="38"/>
    <x v="39"/>
    <x v="0"/>
    <x v="1"/>
    <s v="Poor"/>
    <n v="95"/>
    <n v="55.98"/>
    <n v="20"/>
    <n v="462"/>
    <n v="38"/>
  </r>
  <r>
    <s v="STU0147"/>
    <x v="0"/>
    <n v="15"/>
    <x v="134"/>
    <n v="73"/>
    <x v="15"/>
    <x v="0"/>
    <x v="0"/>
    <s v="Good"/>
    <n v="95"/>
    <n v="55.98"/>
    <n v="20"/>
    <n v="462"/>
    <n v="38"/>
  </r>
  <r>
    <s v="STU0148"/>
    <x v="1"/>
    <n v="17"/>
    <x v="105"/>
    <n v="49"/>
    <x v="31"/>
    <x v="0"/>
    <x v="2"/>
    <s v="Average"/>
    <n v="95"/>
    <n v="55.98"/>
    <n v="20"/>
    <n v="462"/>
    <n v="38"/>
  </r>
  <r>
    <s v="STU0149"/>
    <x v="0"/>
    <n v="15"/>
    <x v="119"/>
    <n v="83"/>
    <x v="16"/>
    <x v="0"/>
    <x v="1"/>
    <s v="Average"/>
    <n v="95"/>
    <n v="55.98"/>
    <n v="20"/>
    <n v="462"/>
    <n v="38"/>
  </r>
  <r>
    <s v="STU0150"/>
    <x v="0"/>
    <n v="19"/>
    <x v="98"/>
    <n v="69"/>
    <x v="27"/>
    <x v="1"/>
    <x v="1"/>
    <s v="Poor"/>
    <n v="95"/>
    <n v="55.98"/>
    <n v="20"/>
    <n v="462"/>
    <n v="38"/>
  </r>
  <r>
    <s v="STU0151"/>
    <x v="0"/>
    <n v="18"/>
    <x v="135"/>
    <n v="47"/>
    <x v="15"/>
    <x v="0"/>
    <x v="0"/>
    <s v="Good"/>
    <n v="95"/>
    <n v="55.98"/>
    <n v="20"/>
    <n v="462"/>
    <n v="38"/>
  </r>
  <r>
    <s v="STU0152"/>
    <x v="1"/>
    <n v="17"/>
    <x v="30"/>
    <n v="46"/>
    <x v="24"/>
    <x v="0"/>
    <x v="1"/>
    <s v="Average"/>
    <n v="95"/>
    <n v="55.98"/>
    <n v="20"/>
    <n v="462"/>
    <n v="38"/>
  </r>
  <r>
    <s v="STU0153"/>
    <x v="0"/>
    <n v="19"/>
    <x v="136"/>
    <n v="35"/>
    <x v="32"/>
    <x v="0"/>
    <x v="0"/>
    <s v="Good"/>
    <n v="95"/>
    <n v="55.98"/>
    <n v="20"/>
    <n v="462"/>
    <n v="38"/>
  </r>
  <r>
    <s v="STU0154"/>
    <x v="0"/>
    <n v="18"/>
    <x v="137"/>
    <n v="83"/>
    <x v="8"/>
    <x v="0"/>
    <x v="1"/>
    <s v="Average"/>
    <n v="95"/>
    <n v="55.98"/>
    <n v="20"/>
    <n v="462"/>
    <n v="38"/>
  </r>
  <r>
    <s v="STU0155"/>
    <x v="0"/>
    <n v="18"/>
    <x v="138"/>
    <n v="41"/>
    <x v="10"/>
    <x v="0"/>
    <x v="1"/>
    <s v="Poor"/>
    <n v="95"/>
    <n v="55.98"/>
    <n v="20"/>
    <n v="462"/>
    <n v="38"/>
  </r>
  <r>
    <s v="STU0156"/>
    <x v="0"/>
    <n v="16"/>
    <x v="139"/>
    <n v="69"/>
    <x v="34"/>
    <x v="0"/>
    <x v="0"/>
    <s v="Good"/>
    <n v="95"/>
    <n v="55.98"/>
    <n v="20"/>
    <n v="462"/>
    <n v="38"/>
  </r>
  <r>
    <s v="STU0157"/>
    <x v="1"/>
    <n v="16"/>
    <x v="140"/>
    <n v="74"/>
    <x v="28"/>
    <x v="0"/>
    <x v="2"/>
    <s v="Average"/>
    <n v="95"/>
    <n v="55.98"/>
    <n v="20"/>
    <n v="462"/>
    <n v="38"/>
  </r>
  <r>
    <s v="STU0158"/>
    <x v="0"/>
    <n v="16"/>
    <x v="141"/>
    <n v="39"/>
    <x v="53"/>
    <x v="1"/>
    <x v="1"/>
    <s v="Poor"/>
    <n v="95"/>
    <n v="55.98"/>
    <n v="20"/>
    <n v="462"/>
    <n v="38"/>
  </r>
  <r>
    <s v="STU0159"/>
    <x v="1"/>
    <n v="18"/>
    <x v="61"/>
    <n v="70"/>
    <x v="15"/>
    <x v="0"/>
    <x v="0"/>
    <s v="Good"/>
    <n v="95"/>
    <n v="55.98"/>
    <n v="20"/>
    <n v="462"/>
    <n v="38"/>
  </r>
  <r>
    <s v="STU0160"/>
    <x v="1"/>
    <n v="15"/>
    <x v="142"/>
    <n v="75"/>
    <x v="51"/>
    <x v="0"/>
    <x v="0"/>
    <s v="Good"/>
    <n v="95"/>
    <n v="55.98"/>
    <n v="20"/>
    <n v="462"/>
    <n v="38"/>
  </r>
  <r>
    <s v="STU0161"/>
    <x v="0"/>
    <n v="17"/>
    <x v="143"/>
    <n v="39"/>
    <x v="42"/>
    <x v="0"/>
    <x v="2"/>
    <s v="Average"/>
    <n v="95"/>
    <n v="55.98"/>
    <n v="20"/>
    <n v="462"/>
    <n v="38"/>
  </r>
  <r>
    <s v="STU0162"/>
    <x v="0"/>
    <n v="19"/>
    <x v="97"/>
    <n v="54"/>
    <x v="33"/>
    <x v="0"/>
    <x v="2"/>
    <s v="Average"/>
    <n v="95"/>
    <n v="55.98"/>
    <n v="20"/>
    <n v="462"/>
    <n v="38"/>
  </r>
  <r>
    <s v="STU0163"/>
    <x v="1"/>
    <n v="19"/>
    <x v="144"/>
    <n v="40"/>
    <x v="54"/>
    <x v="0"/>
    <x v="1"/>
    <s v="Average"/>
    <n v="95"/>
    <n v="55.98"/>
    <n v="20"/>
    <n v="462"/>
    <n v="38"/>
  </r>
  <r>
    <s v="STU0164"/>
    <x v="0"/>
    <n v="15"/>
    <x v="145"/>
    <n v="77"/>
    <x v="18"/>
    <x v="0"/>
    <x v="1"/>
    <s v="Average"/>
    <n v="95"/>
    <n v="55.98"/>
    <n v="20"/>
    <n v="462"/>
    <n v="38"/>
  </r>
  <r>
    <s v="STU0165"/>
    <x v="1"/>
    <n v="18"/>
    <x v="146"/>
    <n v="38"/>
    <x v="32"/>
    <x v="0"/>
    <x v="0"/>
    <s v="Good"/>
    <n v="95"/>
    <n v="55.98"/>
    <n v="20"/>
    <n v="462"/>
    <n v="38"/>
  </r>
  <r>
    <s v="STU0166"/>
    <x v="0"/>
    <n v="19"/>
    <x v="147"/>
    <n v="40"/>
    <x v="36"/>
    <x v="0"/>
    <x v="0"/>
    <s v="Good"/>
    <n v="95"/>
    <n v="55.98"/>
    <n v="20"/>
    <n v="462"/>
    <n v="38"/>
  </r>
  <r>
    <s v="STU0167"/>
    <x v="0"/>
    <n v="17"/>
    <x v="148"/>
    <n v="69"/>
    <x v="32"/>
    <x v="0"/>
    <x v="0"/>
    <s v="Good"/>
    <n v="95"/>
    <n v="55.98"/>
    <n v="20"/>
    <n v="462"/>
    <n v="38"/>
  </r>
  <r>
    <s v="STU0168"/>
    <x v="1"/>
    <n v="17"/>
    <x v="149"/>
    <n v="95"/>
    <x v="55"/>
    <x v="0"/>
    <x v="0"/>
    <s v="Good"/>
    <n v="95"/>
    <n v="55.98"/>
    <n v="20"/>
    <n v="462"/>
    <n v="38"/>
  </r>
  <r>
    <s v="STU0169"/>
    <x v="0"/>
    <n v="17"/>
    <x v="41"/>
    <n v="54"/>
    <x v="5"/>
    <x v="0"/>
    <x v="1"/>
    <s v="Poor"/>
    <n v="95"/>
    <n v="55.98"/>
    <n v="20"/>
    <n v="462"/>
    <n v="38"/>
  </r>
  <r>
    <s v="STU0170"/>
    <x v="0"/>
    <n v="16"/>
    <x v="28"/>
    <n v="46"/>
    <x v="10"/>
    <x v="0"/>
    <x v="1"/>
    <s v="Poor"/>
    <n v="95"/>
    <n v="55.98"/>
    <n v="20"/>
    <n v="462"/>
    <n v="38"/>
  </r>
  <r>
    <s v="STU0171"/>
    <x v="1"/>
    <n v="16"/>
    <x v="41"/>
    <n v="35"/>
    <x v="56"/>
    <x v="1"/>
    <x v="1"/>
    <s v="Poor"/>
    <n v="95"/>
    <n v="55.98"/>
    <n v="20"/>
    <n v="462"/>
    <n v="38"/>
  </r>
  <r>
    <s v="STU0172"/>
    <x v="1"/>
    <n v="16"/>
    <x v="150"/>
    <n v="69"/>
    <x v="37"/>
    <x v="0"/>
    <x v="0"/>
    <s v="Good"/>
    <n v="95"/>
    <n v="55.98"/>
    <n v="20"/>
    <n v="462"/>
    <n v="38"/>
  </r>
  <r>
    <s v="STU0173"/>
    <x v="1"/>
    <n v="16"/>
    <x v="67"/>
    <n v="66"/>
    <x v="36"/>
    <x v="0"/>
    <x v="0"/>
    <s v="Good"/>
    <n v="95"/>
    <n v="55.98"/>
    <n v="20"/>
    <n v="462"/>
    <n v="38"/>
  </r>
  <r>
    <s v="STU0174"/>
    <x v="1"/>
    <n v="19"/>
    <x v="151"/>
    <n v="62"/>
    <x v="16"/>
    <x v="0"/>
    <x v="1"/>
    <s v="Average"/>
    <n v="95"/>
    <n v="55.98"/>
    <n v="20"/>
    <n v="462"/>
    <n v="38"/>
  </r>
  <r>
    <s v="STU0175"/>
    <x v="1"/>
    <n v="17"/>
    <x v="152"/>
    <n v="40"/>
    <x v="41"/>
    <x v="0"/>
    <x v="0"/>
    <s v="Good"/>
    <n v="95"/>
    <n v="55.98"/>
    <n v="20"/>
    <n v="462"/>
    <n v="38"/>
  </r>
  <r>
    <s v="STU0176"/>
    <x v="0"/>
    <n v="17"/>
    <x v="153"/>
    <n v="58"/>
    <x v="51"/>
    <x v="0"/>
    <x v="0"/>
    <s v="Good"/>
    <n v="95"/>
    <n v="55.98"/>
    <n v="20"/>
    <n v="462"/>
    <n v="38"/>
  </r>
  <r>
    <s v="STU0177"/>
    <x v="1"/>
    <n v="15"/>
    <x v="135"/>
    <n v="79"/>
    <x v="24"/>
    <x v="0"/>
    <x v="1"/>
    <s v="Average"/>
    <n v="95"/>
    <n v="55.98"/>
    <n v="20"/>
    <n v="462"/>
    <n v="38"/>
  </r>
  <r>
    <s v="STU0178"/>
    <x v="1"/>
    <n v="16"/>
    <x v="154"/>
    <n v="47"/>
    <x v="57"/>
    <x v="1"/>
    <x v="1"/>
    <s v="Poor"/>
    <n v="95"/>
    <n v="55.98"/>
    <n v="20"/>
    <n v="462"/>
    <n v="38"/>
  </r>
  <r>
    <s v="STU0179"/>
    <x v="1"/>
    <n v="18"/>
    <x v="155"/>
    <n v="40"/>
    <x v="7"/>
    <x v="0"/>
    <x v="2"/>
    <s v="Average"/>
    <n v="95"/>
    <n v="55.98"/>
    <n v="20"/>
    <n v="462"/>
    <n v="38"/>
  </r>
  <r>
    <s v="STU0180"/>
    <x v="1"/>
    <n v="16"/>
    <x v="156"/>
    <n v="66"/>
    <x v="11"/>
    <x v="0"/>
    <x v="0"/>
    <s v="Good"/>
    <n v="95"/>
    <n v="55.98"/>
    <n v="20"/>
    <n v="462"/>
    <n v="38"/>
  </r>
  <r>
    <s v="STU0181"/>
    <x v="1"/>
    <n v="15"/>
    <x v="109"/>
    <n v="44"/>
    <x v="26"/>
    <x v="1"/>
    <x v="1"/>
    <s v="Poor"/>
    <n v="95"/>
    <n v="55.98"/>
    <n v="20"/>
    <n v="462"/>
    <n v="38"/>
  </r>
  <r>
    <s v="STU0182"/>
    <x v="0"/>
    <n v="19"/>
    <x v="157"/>
    <n v="30"/>
    <x v="42"/>
    <x v="0"/>
    <x v="2"/>
    <s v="Average"/>
    <n v="95"/>
    <n v="55.98"/>
    <n v="20"/>
    <n v="462"/>
    <n v="38"/>
  </r>
  <r>
    <s v="STU0183"/>
    <x v="1"/>
    <n v="16"/>
    <x v="158"/>
    <n v="94"/>
    <x v="35"/>
    <x v="0"/>
    <x v="3"/>
    <s v="Excellent"/>
    <n v="95"/>
    <n v="55.98"/>
    <n v="20"/>
    <n v="462"/>
    <n v="38"/>
  </r>
  <r>
    <s v="STU0184"/>
    <x v="0"/>
    <n v="18"/>
    <x v="80"/>
    <n v="32"/>
    <x v="0"/>
    <x v="0"/>
    <x v="0"/>
    <s v="Good"/>
    <n v="95"/>
    <n v="55.98"/>
    <n v="20"/>
    <n v="462"/>
    <n v="38"/>
  </r>
  <r>
    <s v="STU0185"/>
    <x v="0"/>
    <n v="17"/>
    <x v="159"/>
    <n v="35"/>
    <x v="6"/>
    <x v="0"/>
    <x v="1"/>
    <s v="Average"/>
    <n v="95"/>
    <n v="55.98"/>
    <n v="20"/>
    <n v="462"/>
    <n v="38"/>
  </r>
  <r>
    <s v="STU0186"/>
    <x v="1"/>
    <n v="16"/>
    <x v="140"/>
    <n v="47"/>
    <x v="15"/>
    <x v="0"/>
    <x v="0"/>
    <s v="Good"/>
    <n v="95"/>
    <n v="55.98"/>
    <n v="20"/>
    <n v="462"/>
    <n v="38"/>
  </r>
  <r>
    <s v="STU0187"/>
    <x v="1"/>
    <n v="15"/>
    <x v="160"/>
    <n v="69"/>
    <x v="2"/>
    <x v="0"/>
    <x v="1"/>
    <s v="Average"/>
    <n v="95"/>
    <n v="55.98"/>
    <n v="20"/>
    <n v="462"/>
    <n v="38"/>
  </r>
  <r>
    <s v="STU0188"/>
    <x v="1"/>
    <n v="19"/>
    <x v="161"/>
    <n v="36"/>
    <x v="7"/>
    <x v="0"/>
    <x v="2"/>
    <s v="Average"/>
    <n v="95"/>
    <n v="55.98"/>
    <n v="20"/>
    <n v="462"/>
    <n v="38"/>
  </r>
  <r>
    <s v="STU0189"/>
    <x v="1"/>
    <n v="17"/>
    <x v="162"/>
    <n v="79"/>
    <x v="44"/>
    <x v="0"/>
    <x v="1"/>
    <s v="Average"/>
    <n v="95"/>
    <n v="55.98"/>
    <n v="20"/>
    <n v="462"/>
    <n v="38"/>
  </r>
  <r>
    <s v="STU0190"/>
    <x v="0"/>
    <n v="18"/>
    <x v="92"/>
    <n v="84"/>
    <x v="25"/>
    <x v="0"/>
    <x v="0"/>
    <s v="Good"/>
    <n v="95"/>
    <n v="55.98"/>
    <n v="20"/>
    <n v="462"/>
    <n v="38"/>
  </r>
  <r>
    <s v="STU0191"/>
    <x v="1"/>
    <n v="19"/>
    <x v="41"/>
    <n v="40"/>
    <x v="25"/>
    <x v="0"/>
    <x v="0"/>
    <s v="Good"/>
    <n v="95"/>
    <n v="55.98"/>
    <n v="20"/>
    <n v="462"/>
    <n v="38"/>
  </r>
  <r>
    <s v="STU0192"/>
    <x v="1"/>
    <n v="17"/>
    <x v="163"/>
    <n v="74"/>
    <x v="32"/>
    <x v="0"/>
    <x v="0"/>
    <s v="Good"/>
    <n v="95"/>
    <n v="55.98"/>
    <n v="20"/>
    <n v="462"/>
    <n v="38"/>
  </r>
  <r>
    <s v="STU0193"/>
    <x v="0"/>
    <n v="17"/>
    <x v="164"/>
    <n v="81"/>
    <x v="55"/>
    <x v="0"/>
    <x v="0"/>
    <s v="Good"/>
    <n v="95"/>
    <n v="55.98"/>
    <n v="20"/>
    <n v="462"/>
    <n v="38"/>
  </r>
  <r>
    <s v="STU0194"/>
    <x v="0"/>
    <n v="15"/>
    <x v="26"/>
    <n v="38"/>
    <x v="58"/>
    <x v="0"/>
    <x v="1"/>
    <s v="Poor"/>
    <n v="95"/>
    <n v="55.98"/>
    <n v="20"/>
    <n v="462"/>
    <n v="38"/>
  </r>
  <r>
    <s v="STU0195"/>
    <x v="1"/>
    <n v="17"/>
    <x v="89"/>
    <n v="77"/>
    <x v="32"/>
    <x v="0"/>
    <x v="0"/>
    <s v="Good"/>
    <n v="95"/>
    <n v="55.98"/>
    <n v="20"/>
    <n v="462"/>
    <n v="38"/>
  </r>
  <r>
    <s v="STU0196"/>
    <x v="1"/>
    <n v="15"/>
    <x v="165"/>
    <n v="65"/>
    <x v="40"/>
    <x v="0"/>
    <x v="2"/>
    <s v="Average"/>
    <n v="95"/>
    <n v="55.98"/>
    <n v="20"/>
    <n v="462"/>
    <n v="38"/>
  </r>
  <r>
    <s v="STU0197"/>
    <x v="0"/>
    <n v="15"/>
    <x v="166"/>
    <n v="63"/>
    <x v="38"/>
    <x v="0"/>
    <x v="0"/>
    <s v="Good"/>
    <n v="95"/>
    <n v="55.98"/>
    <n v="20"/>
    <n v="462"/>
    <n v="38"/>
  </r>
  <r>
    <s v="STU0198"/>
    <x v="1"/>
    <n v="18"/>
    <x v="90"/>
    <n v="45"/>
    <x v="50"/>
    <x v="0"/>
    <x v="1"/>
    <s v="Poor"/>
    <n v="95"/>
    <n v="55.98"/>
    <n v="20"/>
    <n v="462"/>
    <n v="38"/>
  </r>
  <r>
    <s v="STU0199"/>
    <x v="0"/>
    <n v="18"/>
    <x v="167"/>
    <n v="74"/>
    <x v="45"/>
    <x v="0"/>
    <x v="0"/>
    <s v="Good"/>
    <n v="95"/>
    <n v="55.98"/>
    <n v="20"/>
    <n v="462"/>
    <n v="38"/>
  </r>
  <r>
    <s v="STU0200"/>
    <x v="0"/>
    <n v="19"/>
    <x v="168"/>
    <n v="76"/>
    <x v="11"/>
    <x v="0"/>
    <x v="0"/>
    <s v="Good"/>
    <n v="95"/>
    <n v="55.98"/>
    <n v="20"/>
    <n v="462"/>
    <n v="38"/>
  </r>
  <r>
    <s v="STU0201"/>
    <x v="0"/>
    <n v="15"/>
    <x v="100"/>
    <n v="76"/>
    <x v="7"/>
    <x v="0"/>
    <x v="2"/>
    <s v="Average"/>
    <n v="95"/>
    <n v="55.98"/>
    <n v="20"/>
    <n v="462"/>
    <n v="38"/>
  </r>
  <r>
    <s v="STU0202"/>
    <x v="1"/>
    <n v="18"/>
    <x v="169"/>
    <n v="69"/>
    <x v="59"/>
    <x v="0"/>
    <x v="3"/>
    <s v="Excellent"/>
    <n v="95"/>
    <n v="55.98"/>
    <n v="20"/>
    <n v="462"/>
    <n v="38"/>
  </r>
  <r>
    <s v="STU0203"/>
    <x v="1"/>
    <n v="19"/>
    <x v="170"/>
    <n v="70"/>
    <x v="34"/>
    <x v="0"/>
    <x v="0"/>
    <s v="Good"/>
    <n v="95"/>
    <n v="55.98"/>
    <n v="20"/>
    <n v="462"/>
    <n v="38"/>
  </r>
  <r>
    <s v="STU0204"/>
    <x v="0"/>
    <n v="18"/>
    <x v="171"/>
    <n v="46"/>
    <x v="7"/>
    <x v="0"/>
    <x v="2"/>
    <s v="Average"/>
    <n v="95"/>
    <n v="55.98"/>
    <n v="20"/>
    <n v="462"/>
    <n v="38"/>
  </r>
  <r>
    <s v="STU0205"/>
    <x v="0"/>
    <n v="15"/>
    <x v="172"/>
    <n v="58"/>
    <x v="48"/>
    <x v="0"/>
    <x v="2"/>
    <s v="Average"/>
    <n v="95"/>
    <n v="55.98"/>
    <n v="20"/>
    <n v="462"/>
    <n v="38"/>
  </r>
  <r>
    <s v="STU0206"/>
    <x v="1"/>
    <n v="15"/>
    <x v="173"/>
    <n v="68"/>
    <x v="46"/>
    <x v="0"/>
    <x v="2"/>
    <s v="Average"/>
    <n v="95"/>
    <n v="55.98"/>
    <n v="20"/>
    <n v="462"/>
    <n v="38"/>
  </r>
  <r>
    <s v="STU0207"/>
    <x v="0"/>
    <n v="19"/>
    <x v="174"/>
    <n v="73"/>
    <x v="34"/>
    <x v="0"/>
    <x v="0"/>
    <s v="Good"/>
    <n v="95"/>
    <n v="55.98"/>
    <n v="20"/>
    <n v="462"/>
    <n v="38"/>
  </r>
  <r>
    <s v="STU0208"/>
    <x v="0"/>
    <n v="15"/>
    <x v="175"/>
    <n v="83"/>
    <x v="6"/>
    <x v="0"/>
    <x v="1"/>
    <s v="Average"/>
    <n v="95"/>
    <n v="55.98"/>
    <n v="20"/>
    <n v="462"/>
    <n v="38"/>
  </r>
  <r>
    <s v="STU0209"/>
    <x v="0"/>
    <n v="18"/>
    <x v="176"/>
    <n v="61"/>
    <x v="60"/>
    <x v="0"/>
    <x v="4"/>
    <s v="Excellent"/>
    <n v="95"/>
    <n v="55.98"/>
    <n v="20"/>
    <n v="462"/>
    <n v="38"/>
  </r>
  <r>
    <s v="STU0210"/>
    <x v="1"/>
    <n v="17"/>
    <x v="177"/>
    <n v="83"/>
    <x v="7"/>
    <x v="0"/>
    <x v="2"/>
    <s v="Average"/>
    <n v="95"/>
    <n v="55.98"/>
    <n v="20"/>
    <n v="462"/>
    <n v="38"/>
  </r>
  <r>
    <s v="STU0211"/>
    <x v="1"/>
    <n v="16"/>
    <x v="178"/>
    <n v="81"/>
    <x v="54"/>
    <x v="0"/>
    <x v="1"/>
    <s v="Average"/>
    <n v="95"/>
    <n v="55.98"/>
    <n v="20"/>
    <n v="462"/>
    <n v="38"/>
  </r>
  <r>
    <s v="STU0212"/>
    <x v="1"/>
    <n v="19"/>
    <x v="179"/>
    <n v="64"/>
    <x v="7"/>
    <x v="0"/>
    <x v="2"/>
    <s v="Average"/>
    <n v="95"/>
    <n v="55.98"/>
    <n v="20"/>
    <n v="462"/>
    <n v="38"/>
  </r>
  <r>
    <s v="STU0213"/>
    <x v="0"/>
    <n v="16"/>
    <x v="180"/>
    <n v="50"/>
    <x v="1"/>
    <x v="1"/>
    <x v="1"/>
    <s v="Poor"/>
    <n v="95"/>
    <n v="55.98"/>
    <n v="20"/>
    <n v="462"/>
    <n v="38"/>
  </r>
  <r>
    <s v="STU0214"/>
    <x v="1"/>
    <n v="16"/>
    <x v="181"/>
    <n v="69"/>
    <x v="3"/>
    <x v="0"/>
    <x v="0"/>
    <s v="Good"/>
    <n v="95"/>
    <n v="55.98"/>
    <n v="20"/>
    <n v="462"/>
    <n v="38"/>
  </r>
  <r>
    <s v="STU0215"/>
    <x v="0"/>
    <n v="15"/>
    <x v="69"/>
    <n v="36"/>
    <x v="58"/>
    <x v="0"/>
    <x v="1"/>
    <s v="Poor"/>
    <n v="95"/>
    <n v="55.98"/>
    <n v="20"/>
    <n v="462"/>
    <n v="38"/>
  </r>
  <r>
    <s v="STU0216"/>
    <x v="1"/>
    <n v="18"/>
    <x v="72"/>
    <n v="43"/>
    <x v="36"/>
    <x v="0"/>
    <x v="0"/>
    <s v="Good"/>
    <n v="95"/>
    <n v="55.98"/>
    <n v="20"/>
    <n v="462"/>
    <n v="38"/>
  </r>
  <r>
    <s v="STU0217"/>
    <x v="0"/>
    <n v="17"/>
    <x v="182"/>
    <n v="81"/>
    <x v="45"/>
    <x v="0"/>
    <x v="0"/>
    <s v="Good"/>
    <n v="95"/>
    <n v="55.98"/>
    <n v="20"/>
    <n v="462"/>
    <n v="38"/>
  </r>
  <r>
    <s v="STU0218"/>
    <x v="0"/>
    <n v="17"/>
    <x v="183"/>
    <n v="45"/>
    <x v="44"/>
    <x v="0"/>
    <x v="1"/>
    <s v="Average"/>
    <n v="95"/>
    <n v="55.98"/>
    <n v="20"/>
    <n v="462"/>
    <n v="38"/>
  </r>
  <r>
    <s v="STU0219"/>
    <x v="0"/>
    <n v="18"/>
    <x v="184"/>
    <n v="55"/>
    <x v="32"/>
    <x v="0"/>
    <x v="0"/>
    <s v="Good"/>
    <n v="95"/>
    <n v="55.98"/>
    <n v="20"/>
    <n v="462"/>
    <n v="38"/>
  </r>
  <r>
    <s v="STU0220"/>
    <x v="1"/>
    <n v="19"/>
    <x v="175"/>
    <n v="88"/>
    <x v="61"/>
    <x v="1"/>
    <x v="1"/>
    <s v="Poor"/>
    <n v="95"/>
    <n v="55.98"/>
    <n v="20"/>
    <n v="462"/>
    <n v="38"/>
  </r>
  <r>
    <s v="STU0221"/>
    <x v="0"/>
    <n v="17"/>
    <x v="154"/>
    <n v="94"/>
    <x v="37"/>
    <x v="0"/>
    <x v="0"/>
    <s v="Good"/>
    <n v="95"/>
    <n v="55.98"/>
    <n v="20"/>
    <n v="462"/>
    <n v="38"/>
  </r>
  <r>
    <s v="STU0222"/>
    <x v="1"/>
    <n v="19"/>
    <x v="65"/>
    <n v="44"/>
    <x v="44"/>
    <x v="0"/>
    <x v="1"/>
    <s v="Average"/>
    <n v="95"/>
    <n v="55.98"/>
    <n v="20"/>
    <n v="462"/>
    <n v="38"/>
  </r>
  <r>
    <s v="STU0223"/>
    <x v="1"/>
    <n v="15"/>
    <x v="65"/>
    <n v="91"/>
    <x v="32"/>
    <x v="0"/>
    <x v="0"/>
    <s v="Good"/>
    <n v="95"/>
    <n v="55.98"/>
    <n v="20"/>
    <n v="462"/>
    <n v="38"/>
  </r>
  <r>
    <s v="STU0224"/>
    <x v="1"/>
    <n v="16"/>
    <x v="171"/>
    <n v="32"/>
    <x v="17"/>
    <x v="0"/>
    <x v="0"/>
    <s v="Good"/>
    <n v="95"/>
    <n v="55.98"/>
    <n v="20"/>
    <n v="462"/>
    <n v="38"/>
  </r>
  <r>
    <s v="STU0225"/>
    <x v="1"/>
    <n v="18"/>
    <x v="23"/>
    <n v="37"/>
    <x v="8"/>
    <x v="0"/>
    <x v="1"/>
    <s v="Average"/>
    <n v="95"/>
    <n v="55.98"/>
    <n v="20"/>
    <n v="462"/>
    <n v="38"/>
  </r>
  <r>
    <s v="STU0226"/>
    <x v="0"/>
    <n v="19"/>
    <x v="40"/>
    <n v="52"/>
    <x v="8"/>
    <x v="0"/>
    <x v="1"/>
    <s v="Average"/>
    <n v="95"/>
    <n v="55.98"/>
    <n v="20"/>
    <n v="462"/>
    <n v="38"/>
  </r>
  <r>
    <s v="STU0227"/>
    <x v="1"/>
    <n v="19"/>
    <x v="185"/>
    <n v="61"/>
    <x v="2"/>
    <x v="0"/>
    <x v="1"/>
    <s v="Average"/>
    <n v="95"/>
    <n v="55.98"/>
    <n v="20"/>
    <n v="462"/>
    <n v="38"/>
  </r>
  <r>
    <s v="STU0228"/>
    <x v="1"/>
    <n v="16"/>
    <x v="68"/>
    <n v="91"/>
    <x v="31"/>
    <x v="0"/>
    <x v="2"/>
    <s v="Average"/>
    <n v="95"/>
    <n v="55.98"/>
    <n v="20"/>
    <n v="462"/>
    <n v="38"/>
  </r>
  <r>
    <s v="STU0229"/>
    <x v="1"/>
    <n v="17"/>
    <x v="186"/>
    <n v="74"/>
    <x v="47"/>
    <x v="0"/>
    <x v="2"/>
    <s v="Average"/>
    <n v="95"/>
    <n v="55.98"/>
    <n v="20"/>
    <n v="462"/>
    <n v="38"/>
  </r>
  <r>
    <s v="STU0230"/>
    <x v="0"/>
    <n v="17"/>
    <x v="183"/>
    <n v="62"/>
    <x v="8"/>
    <x v="0"/>
    <x v="1"/>
    <s v="Average"/>
    <n v="95"/>
    <n v="55.98"/>
    <n v="20"/>
    <n v="462"/>
    <n v="38"/>
  </r>
  <r>
    <s v="STU0231"/>
    <x v="1"/>
    <n v="16"/>
    <x v="187"/>
    <n v="43"/>
    <x v="40"/>
    <x v="0"/>
    <x v="2"/>
    <s v="Average"/>
    <n v="95"/>
    <n v="55.98"/>
    <n v="20"/>
    <n v="462"/>
    <n v="38"/>
  </r>
  <r>
    <s v="STU0232"/>
    <x v="0"/>
    <n v="16"/>
    <x v="31"/>
    <n v="36"/>
    <x v="21"/>
    <x v="1"/>
    <x v="1"/>
    <s v="Poor"/>
    <n v="95"/>
    <n v="55.98"/>
    <n v="20"/>
    <n v="462"/>
    <n v="38"/>
  </r>
  <r>
    <s v="STU0233"/>
    <x v="1"/>
    <n v="17"/>
    <x v="22"/>
    <n v="82"/>
    <x v="14"/>
    <x v="0"/>
    <x v="0"/>
    <s v="Good"/>
    <n v="95"/>
    <n v="55.98"/>
    <n v="20"/>
    <n v="462"/>
    <n v="38"/>
  </r>
  <r>
    <s v="STU0234"/>
    <x v="1"/>
    <n v="18"/>
    <x v="51"/>
    <n v="37"/>
    <x v="0"/>
    <x v="0"/>
    <x v="0"/>
    <s v="Good"/>
    <n v="95"/>
    <n v="55.98"/>
    <n v="20"/>
    <n v="462"/>
    <n v="38"/>
  </r>
  <r>
    <s v="STU0235"/>
    <x v="0"/>
    <n v="19"/>
    <x v="188"/>
    <n v="52"/>
    <x v="49"/>
    <x v="1"/>
    <x v="1"/>
    <s v="Poor"/>
    <n v="95"/>
    <n v="55.98"/>
    <n v="20"/>
    <n v="462"/>
    <n v="38"/>
  </r>
  <r>
    <s v="STU0236"/>
    <x v="1"/>
    <n v="18"/>
    <x v="189"/>
    <n v="68"/>
    <x v="7"/>
    <x v="0"/>
    <x v="2"/>
    <s v="Average"/>
    <n v="95"/>
    <n v="55.98"/>
    <n v="20"/>
    <n v="462"/>
    <n v="38"/>
  </r>
  <r>
    <s v="STU0237"/>
    <x v="0"/>
    <n v="17"/>
    <x v="6"/>
    <n v="94"/>
    <x v="7"/>
    <x v="0"/>
    <x v="2"/>
    <s v="Average"/>
    <n v="95"/>
    <n v="55.98"/>
    <n v="20"/>
    <n v="462"/>
    <n v="38"/>
  </r>
  <r>
    <s v="STU0238"/>
    <x v="1"/>
    <n v="16"/>
    <x v="38"/>
    <n v="53"/>
    <x v="40"/>
    <x v="0"/>
    <x v="2"/>
    <s v="Average"/>
    <n v="95"/>
    <n v="55.98"/>
    <n v="20"/>
    <n v="462"/>
    <n v="38"/>
  </r>
  <r>
    <s v="STU0239"/>
    <x v="1"/>
    <n v="17"/>
    <x v="190"/>
    <n v="84"/>
    <x v="17"/>
    <x v="0"/>
    <x v="0"/>
    <s v="Good"/>
    <n v="95"/>
    <n v="55.98"/>
    <n v="20"/>
    <n v="462"/>
    <n v="38"/>
  </r>
  <r>
    <s v="STU0240"/>
    <x v="1"/>
    <n v="15"/>
    <x v="31"/>
    <n v="71"/>
    <x v="40"/>
    <x v="0"/>
    <x v="2"/>
    <s v="Average"/>
    <n v="95"/>
    <n v="55.98"/>
    <n v="20"/>
    <n v="462"/>
    <n v="38"/>
  </r>
  <r>
    <s v="STU0241"/>
    <x v="0"/>
    <n v="17"/>
    <x v="191"/>
    <n v="31"/>
    <x v="10"/>
    <x v="0"/>
    <x v="1"/>
    <s v="Poor"/>
    <n v="95"/>
    <n v="55.98"/>
    <n v="20"/>
    <n v="462"/>
    <n v="38"/>
  </r>
  <r>
    <s v="STU0242"/>
    <x v="1"/>
    <n v="16"/>
    <x v="192"/>
    <n v="81"/>
    <x v="48"/>
    <x v="0"/>
    <x v="2"/>
    <s v="Average"/>
    <n v="95"/>
    <n v="55.98"/>
    <n v="20"/>
    <n v="462"/>
    <n v="38"/>
  </r>
  <r>
    <s v="STU0243"/>
    <x v="1"/>
    <n v="15"/>
    <x v="130"/>
    <n v="58"/>
    <x v="25"/>
    <x v="0"/>
    <x v="0"/>
    <s v="Good"/>
    <n v="95"/>
    <n v="55.98"/>
    <n v="20"/>
    <n v="462"/>
    <n v="38"/>
  </r>
  <r>
    <s v="STU0244"/>
    <x v="1"/>
    <n v="16"/>
    <x v="193"/>
    <n v="90"/>
    <x v="4"/>
    <x v="0"/>
    <x v="0"/>
    <s v="Good"/>
    <n v="95"/>
    <n v="55.98"/>
    <n v="20"/>
    <n v="462"/>
    <n v="38"/>
  </r>
  <r>
    <s v="STU0245"/>
    <x v="0"/>
    <n v="16"/>
    <x v="194"/>
    <n v="39"/>
    <x v="37"/>
    <x v="0"/>
    <x v="0"/>
    <s v="Good"/>
    <n v="95"/>
    <n v="55.98"/>
    <n v="20"/>
    <n v="462"/>
    <n v="38"/>
  </r>
  <r>
    <s v="STU0246"/>
    <x v="0"/>
    <n v="15"/>
    <x v="195"/>
    <n v="51"/>
    <x v="3"/>
    <x v="0"/>
    <x v="0"/>
    <s v="Good"/>
    <n v="95"/>
    <n v="55.98"/>
    <n v="20"/>
    <n v="462"/>
    <n v="38"/>
  </r>
  <r>
    <s v="STU0247"/>
    <x v="1"/>
    <n v="15"/>
    <x v="196"/>
    <n v="95"/>
    <x v="3"/>
    <x v="0"/>
    <x v="0"/>
    <s v="Good"/>
    <n v="95"/>
    <n v="55.98"/>
    <n v="20"/>
    <n v="462"/>
    <n v="38"/>
  </r>
  <r>
    <s v="STU0248"/>
    <x v="0"/>
    <n v="18"/>
    <x v="197"/>
    <n v="69"/>
    <x v="19"/>
    <x v="0"/>
    <x v="2"/>
    <s v="Average"/>
    <n v="95"/>
    <n v="55.98"/>
    <n v="20"/>
    <n v="462"/>
    <n v="38"/>
  </r>
  <r>
    <s v="STU0249"/>
    <x v="0"/>
    <n v="18"/>
    <x v="54"/>
    <n v="84"/>
    <x v="28"/>
    <x v="0"/>
    <x v="2"/>
    <s v="Average"/>
    <n v="95"/>
    <n v="55.98"/>
    <n v="20"/>
    <n v="462"/>
    <n v="38"/>
  </r>
  <r>
    <s v="STU0250"/>
    <x v="0"/>
    <n v="19"/>
    <x v="152"/>
    <n v="66"/>
    <x v="8"/>
    <x v="0"/>
    <x v="1"/>
    <s v="Average"/>
    <n v="95"/>
    <n v="55.98"/>
    <n v="20"/>
    <n v="462"/>
    <n v="38"/>
  </r>
  <r>
    <s v="STU0251"/>
    <x v="0"/>
    <n v="16"/>
    <x v="198"/>
    <n v="87"/>
    <x v="22"/>
    <x v="0"/>
    <x v="0"/>
    <s v="Good"/>
    <n v="95"/>
    <n v="55.98"/>
    <n v="20"/>
    <n v="462"/>
    <n v="38"/>
  </r>
  <r>
    <s v="STU0252"/>
    <x v="1"/>
    <n v="15"/>
    <x v="199"/>
    <n v="45"/>
    <x v="25"/>
    <x v="0"/>
    <x v="0"/>
    <s v="Good"/>
    <n v="95"/>
    <n v="55.98"/>
    <n v="20"/>
    <n v="462"/>
    <n v="38"/>
  </r>
  <r>
    <s v="STU0253"/>
    <x v="1"/>
    <n v="19"/>
    <x v="200"/>
    <n v="68"/>
    <x v="54"/>
    <x v="0"/>
    <x v="1"/>
    <s v="Average"/>
    <n v="95"/>
    <n v="55.98"/>
    <n v="20"/>
    <n v="462"/>
    <n v="38"/>
  </r>
  <r>
    <s v="STU0254"/>
    <x v="1"/>
    <n v="19"/>
    <x v="201"/>
    <n v="49"/>
    <x v="48"/>
    <x v="0"/>
    <x v="2"/>
    <s v="Average"/>
    <n v="95"/>
    <n v="55.98"/>
    <n v="20"/>
    <n v="462"/>
    <n v="38"/>
  </r>
  <r>
    <s v="STU0255"/>
    <x v="0"/>
    <n v="15"/>
    <x v="2"/>
    <n v="56"/>
    <x v="52"/>
    <x v="1"/>
    <x v="1"/>
    <s v="Poor"/>
    <n v="95"/>
    <n v="55.98"/>
    <n v="20"/>
    <n v="462"/>
    <n v="38"/>
  </r>
  <r>
    <s v="STU0256"/>
    <x v="0"/>
    <n v="19"/>
    <x v="202"/>
    <n v="81"/>
    <x v="24"/>
    <x v="0"/>
    <x v="1"/>
    <s v="Average"/>
    <n v="95"/>
    <n v="55.98"/>
    <n v="20"/>
    <n v="462"/>
    <n v="38"/>
  </r>
  <r>
    <s v="STU0257"/>
    <x v="0"/>
    <n v="19"/>
    <x v="194"/>
    <n v="59"/>
    <x v="42"/>
    <x v="0"/>
    <x v="2"/>
    <s v="Average"/>
    <n v="95"/>
    <n v="55.98"/>
    <n v="20"/>
    <n v="462"/>
    <n v="38"/>
  </r>
  <r>
    <s v="STU0258"/>
    <x v="1"/>
    <n v="19"/>
    <x v="68"/>
    <n v="48"/>
    <x v="55"/>
    <x v="0"/>
    <x v="0"/>
    <s v="Good"/>
    <n v="95"/>
    <n v="55.98"/>
    <n v="20"/>
    <n v="462"/>
    <n v="38"/>
  </r>
  <r>
    <s v="STU0259"/>
    <x v="0"/>
    <n v="18"/>
    <x v="0"/>
    <n v="93"/>
    <x v="43"/>
    <x v="0"/>
    <x v="1"/>
    <s v="Average"/>
    <n v="95"/>
    <n v="55.98"/>
    <n v="20"/>
    <n v="462"/>
    <n v="38"/>
  </r>
  <r>
    <s v="STU0260"/>
    <x v="1"/>
    <n v="18"/>
    <x v="203"/>
    <n v="68"/>
    <x v="55"/>
    <x v="0"/>
    <x v="0"/>
    <s v="Good"/>
    <n v="95"/>
    <n v="55.98"/>
    <n v="20"/>
    <n v="462"/>
    <n v="38"/>
  </r>
  <r>
    <s v="STU0261"/>
    <x v="0"/>
    <n v="19"/>
    <x v="106"/>
    <n v="89"/>
    <x v="54"/>
    <x v="0"/>
    <x v="1"/>
    <s v="Average"/>
    <n v="95"/>
    <n v="55.98"/>
    <n v="20"/>
    <n v="462"/>
    <n v="38"/>
  </r>
  <r>
    <s v="STU0262"/>
    <x v="1"/>
    <n v="18"/>
    <x v="134"/>
    <n v="56"/>
    <x v="31"/>
    <x v="0"/>
    <x v="2"/>
    <s v="Average"/>
    <n v="95"/>
    <n v="55.98"/>
    <n v="20"/>
    <n v="462"/>
    <n v="38"/>
  </r>
  <r>
    <s v="STU0263"/>
    <x v="0"/>
    <n v="18"/>
    <x v="204"/>
    <n v="64"/>
    <x v="55"/>
    <x v="0"/>
    <x v="0"/>
    <s v="Good"/>
    <n v="95"/>
    <n v="55.98"/>
    <n v="20"/>
    <n v="462"/>
    <n v="38"/>
  </r>
  <r>
    <s v="STU0264"/>
    <x v="0"/>
    <n v="15"/>
    <x v="113"/>
    <n v="56"/>
    <x v="44"/>
    <x v="0"/>
    <x v="1"/>
    <s v="Average"/>
    <n v="95"/>
    <n v="55.98"/>
    <n v="20"/>
    <n v="462"/>
    <n v="38"/>
  </r>
  <r>
    <s v="STU0265"/>
    <x v="1"/>
    <n v="15"/>
    <x v="205"/>
    <n v="56"/>
    <x v="2"/>
    <x v="0"/>
    <x v="1"/>
    <s v="Average"/>
    <n v="95"/>
    <n v="55.98"/>
    <n v="20"/>
    <n v="462"/>
    <n v="38"/>
  </r>
  <r>
    <s v="STU0266"/>
    <x v="0"/>
    <n v="19"/>
    <x v="206"/>
    <n v="69"/>
    <x v="48"/>
    <x v="0"/>
    <x v="2"/>
    <s v="Average"/>
    <n v="95"/>
    <n v="55.98"/>
    <n v="20"/>
    <n v="462"/>
    <n v="38"/>
  </r>
  <r>
    <s v="STU0267"/>
    <x v="1"/>
    <n v="19"/>
    <x v="92"/>
    <n v="56"/>
    <x v="41"/>
    <x v="0"/>
    <x v="0"/>
    <s v="Good"/>
    <n v="95"/>
    <n v="55.98"/>
    <n v="20"/>
    <n v="462"/>
    <n v="38"/>
  </r>
  <r>
    <s v="STU0268"/>
    <x v="1"/>
    <n v="18"/>
    <x v="207"/>
    <n v="63"/>
    <x v="6"/>
    <x v="0"/>
    <x v="1"/>
    <s v="Average"/>
    <n v="95"/>
    <n v="55.98"/>
    <n v="20"/>
    <n v="462"/>
    <n v="38"/>
  </r>
  <r>
    <s v="STU0269"/>
    <x v="1"/>
    <n v="17"/>
    <x v="173"/>
    <n v="93"/>
    <x v="54"/>
    <x v="0"/>
    <x v="1"/>
    <s v="Average"/>
    <n v="95"/>
    <n v="55.98"/>
    <n v="20"/>
    <n v="462"/>
    <n v="38"/>
  </r>
  <r>
    <s v="STU0270"/>
    <x v="1"/>
    <n v="17"/>
    <x v="208"/>
    <n v="75"/>
    <x v="37"/>
    <x v="0"/>
    <x v="0"/>
    <s v="Good"/>
    <n v="95"/>
    <n v="55.98"/>
    <n v="20"/>
    <n v="462"/>
    <n v="38"/>
  </r>
  <r>
    <s v="STU0271"/>
    <x v="0"/>
    <n v="19"/>
    <x v="209"/>
    <n v="39"/>
    <x v="31"/>
    <x v="0"/>
    <x v="2"/>
    <s v="Average"/>
    <n v="95"/>
    <n v="55.98"/>
    <n v="20"/>
    <n v="462"/>
    <n v="38"/>
  </r>
  <r>
    <s v="STU0272"/>
    <x v="0"/>
    <n v="15"/>
    <x v="165"/>
    <n v="31"/>
    <x v="58"/>
    <x v="0"/>
    <x v="1"/>
    <s v="Poor"/>
    <n v="95"/>
    <n v="55.98"/>
    <n v="20"/>
    <n v="462"/>
    <n v="38"/>
  </r>
  <r>
    <s v="STU0273"/>
    <x v="1"/>
    <n v="17"/>
    <x v="210"/>
    <n v="32"/>
    <x v="57"/>
    <x v="1"/>
    <x v="1"/>
    <s v="Poor"/>
    <n v="95"/>
    <n v="55.98"/>
    <n v="20"/>
    <n v="462"/>
    <n v="38"/>
  </r>
  <r>
    <s v="STU0274"/>
    <x v="1"/>
    <n v="15"/>
    <x v="134"/>
    <n v="94"/>
    <x v="48"/>
    <x v="0"/>
    <x v="2"/>
    <s v="Average"/>
    <n v="95"/>
    <n v="55.98"/>
    <n v="20"/>
    <n v="462"/>
    <n v="38"/>
  </r>
  <r>
    <s v="STU0275"/>
    <x v="1"/>
    <n v="16"/>
    <x v="211"/>
    <n v="54"/>
    <x v="48"/>
    <x v="0"/>
    <x v="2"/>
    <s v="Average"/>
    <n v="95"/>
    <n v="55.98"/>
    <n v="20"/>
    <n v="462"/>
    <n v="38"/>
  </r>
  <r>
    <s v="STU0276"/>
    <x v="1"/>
    <n v="17"/>
    <x v="184"/>
    <n v="88"/>
    <x v="25"/>
    <x v="0"/>
    <x v="0"/>
    <s v="Good"/>
    <n v="95"/>
    <n v="55.98"/>
    <n v="20"/>
    <n v="462"/>
    <n v="38"/>
  </r>
  <r>
    <s v="STU0277"/>
    <x v="0"/>
    <n v="16"/>
    <x v="8"/>
    <n v="81"/>
    <x v="47"/>
    <x v="0"/>
    <x v="2"/>
    <s v="Average"/>
    <n v="95"/>
    <n v="55.98"/>
    <n v="20"/>
    <n v="462"/>
    <n v="38"/>
  </r>
  <r>
    <s v="STU0278"/>
    <x v="1"/>
    <n v="19"/>
    <x v="212"/>
    <n v="93"/>
    <x v="31"/>
    <x v="0"/>
    <x v="2"/>
    <s v="Average"/>
    <n v="95"/>
    <n v="55.98"/>
    <n v="20"/>
    <n v="462"/>
    <n v="38"/>
  </r>
  <r>
    <s v="STU0279"/>
    <x v="1"/>
    <n v="19"/>
    <x v="79"/>
    <n v="57"/>
    <x v="60"/>
    <x v="0"/>
    <x v="4"/>
    <s v="Excellent"/>
    <n v="95"/>
    <n v="55.98"/>
    <n v="20"/>
    <n v="462"/>
    <n v="38"/>
  </r>
  <r>
    <s v="STU0280"/>
    <x v="1"/>
    <n v="17"/>
    <x v="213"/>
    <n v="70"/>
    <x v="49"/>
    <x v="1"/>
    <x v="1"/>
    <s v="Poor"/>
    <n v="95"/>
    <n v="55.98"/>
    <n v="20"/>
    <n v="462"/>
    <n v="38"/>
  </r>
  <r>
    <s v="STU0281"/>
    <x v="0"/>
    <n v="19"/>
    <x v="55"/>
    <n v="50"/>
    <x v="18"/>
    <x v="0"/>
    <x v="1"/>
    <s v="Average"/>
    <n v="95"/>
    <n v="55.98"/>
    <n v="20"/>
    <n v="462"/>
    <n v="38"/>
  </r>
  <r>
    <s v="STU0282"/>
    <x v="0"/>
    <n v="19"/>
    <x v="214"/>
    <n v="47"/>
    <x v="13"/>
    <x v="0"/>
    <x v="3"/>
    <s v="Excellent"/>
    <n v="95"/>
    <n v="55.98"/>
    <n v="20"/>
    <n v="462"/>
    <n v="38"/>
  </r>
  <r>
    <s v="STU0283"/>
    <x v="0"/>
    <n v="19"/>
    <x v="79"/>
    <n v="59"/>
    <x v="15"/>
    <x v="0"/>
    <x v="0"/>
    <s v="Good"/>
    <n v="95"/>
    <n v="55.98"/>
    <n v="20"/>
    <n v="462"/>
    <n v="38"/>
  </r>
  <r>
    <s v="STU0284"/>
    <x v="1"/>
    <n v="19"/>
    <x v="215"/>
    <n v="33"/>
    <x v="41"/>
    <x v="0"/>
    <x v="0"/>
    <s v="Good"/>
    <n v="95"/>
    <n v="55.98"/>
    <n v="20"/>
    <n v="462"/>
    <n v="38"/>
  </r>
  <r>
    <s v="STU0285"/>
    <x v="1"/>
    <n v="18"/>
    <x v="216"/>
    <n v="53"/>
    <x v="45"/>
    <x v="0"/>
    <x v="0"/>
    <s v="Good"/>
    <n v="95"/>
    <n v="55.98"/>
    <n v="20"/>
    <n v="462"/>
    <n v="38"/>
  </r>
  <r>
    <s v="STU0286"/>
    <x v="1"/>
    <n v="15"/>
    <x v="210"/>
    <n v="64"/>
    <x v="15"/>
    <x v="0"/>
    <x v="0"/>
    <s v="Good"/>
    <n v="95"/>
    <n v="55.98"/>
    <n v="20"/>
    <n v="462"/>
    <n v="38"/>
  </r>
  <r>
    <s v="STU0287"/>
    <x v="1"/>
    <n v="16"/>
    <x v="59"/>
    <n v="30"/>
    <x v="42"/>
    <x v="0"/>
    <x v="2"/>
    <s v="Average"/>
    <n v="95"/>
    <n v="55.98"/>
    <n v="20"/>
    <n v="462"/>
    <n v="38"/>
  </r>
  <r>
    <s v="STU0288"/>
    <x v="1"/>
    <n v="17"/>
    <x v="217"/>
    <n v="85"/>
    <x v="41"/>
    <x v="0"/>
    <x v="0"/>
    <s v="Good"/>
    <n v="95"/>
    <n v="55.98"/>
    <n v="20"/>
    <n v="462"/>
    <n v="38"/>
  </r>
  <r>
    <s v="STU0289"/>
    <x v="1"/>
    <n v="15"/>
    <x v="104"/>
    <n v="79"/>
    <x v="57"/>
    <x v="1"/>
    <x v="1"/>
    <s v="Poor"/>
    <n v="95"/>
    <n v="55.98"/>
    <n v="20"/>
    <n v="462"/>
    <n v="38"/>
  </r>
  <r>
    <s v="STU0290"/>
    <x v="1"/>
    <n v="18"/>
    <x v="140"/>
    <n v="78"/>
    <x v="19"/>
    <x v="0"/>
    <x v="2"/>
    <s v="Average"/>
    <n v="95"/>
    <n v="55.98"/>
    <n v="20"/>
    <n v="462"/>
    <n v="38"/>
  </r>
  <r>
    <s v="STU0291"/>
    <x v="0"/>
    <n v="17"/>
    <x v="218"/>
    <n v="85"/>
    <x v="44"/>
    <x v="0"/>
    <x v="1"/>
    <s v="Average"/>
    <n v="95"/>
    <n v="55.98"/>
    <n v="20"/>
    <n v="462"/>
    <n v="38"/>
  </r>
  <r>
    <s v="STU0292"/>
    <x v="1"/>
    <n v="17"/>
    <x v="102"/>
    <n v="93"/>
    <x v="41"/>
    <x v="0"/>
    <x v="0"/>
    <s v="Good"/>
    <n v="95"/>
    <n v="55.98"/>
    <n v="20"/>
    <n v="462"/>
    <n v="38"/>
  </r>
  <r>
    <s v="STU0293"/>
    <x v="0"/>
    <n v="18"/>
    <x v="219"/>
    <n v="78"/>
    <x v="46"/>
    <x v="0"/>
    <x v="2"/>
    <s v="Average"/>
    <n v="95"/>
    <n v="55.98"/>
    <n v="20"/>
    <n v="462"/>
    <n v="38"/>
  </r>
  <r>
    <s v="STU0294"/>
    <x v="1"/>
    <n v="18"/>
    <x v="220"/>
    <n v="71"/>
    <x v="31"/>
    <x v="0"/>
    <x v="2"/>
    <s v="Average"/>
    <n v="95"/>
    <n v="55.98"/>
    <n v="20"/>
    <n v="462"/>
    <n v="38"/>
  </r>
  <r>
    <s v="STU0295"/>
    <x v="0"/>
    <n v="18"/>
    <x v="221"/>
    <n v="92"/>
    <x v="31"/>
    <x v="0"/>
    <x v="2"/>
    <s v="Average"/>
    <n v="95"/>
    <n v="55.98"/>
    <n v="20"/>
    <n v="462"/>
    <n v="38"/>
  </r>
  <r>
    <s v="STU0296"/>
    <x v="0"/>
    <n v="17"/>
    <x v="222"/>
    <n v="55"/>
    <x v="47"/>
    <x v="0"/>
    <x v="2"/>
    <s v="Average"/>
    <n v="95"/>
    <n v="55.98"/>
    <n v="20"/>
    <n v="462"/>
    <n v="38"/>
  </r>
  <r>
    <s v="STU0297"/>
    <x v="0"/>
    <n v="19"/>
    <x v="223"/>
    <n v="67"/>
    <x v="40"/>
    <x v="0"/>
    <x v="2"/>
    <s v="Average"/>
    <n v="95"/>
    <n v="55.98"/>
    <n v="20"/>
    <n v="462"/>
    <n v="38"/>
  </r>
  <r>
    <s v="STU0298"/>
    <x v="0"/>
    <n v="18"/>
    <x v="224"/>
    <n v="49"/>
    <x v="55"/>
    <x v="0"/>
    <x v="0"/>
    <s v="Good"/>
    <n v="95"/>
    <n v="55.98"/>
    <n v="20"/>
    <n v="462"/>
    <n v="38"/>
  </r>
  <r>
    <s v="STU0299"/>
    <x v="1"/>
    <n v="18"/>
    <x v="225"/>
    <n v="94"/>
    <x v="19"/>
    <x v="0"/>
    <x v="2"/>
    <s v="Average"/>
    <n v="95"/>
    <n v="55.98"/>
    <n v="20"/>
    <n v="462"/>
    <n v="38"/>
  </r>
  <r>
    <s v="STU0300"/>
    <x v="1"/>
    <n v="19"/>
    <x v="226"/>
    <n v="61"/>
    <x v="2"/>
    <x v="0"/>
    <x v="1"/>
    <s v="Average"/>
    <n v="95"/>
    <n v="55.98"/>
    <n v="20"/>
    <n v="462"/>
    <n v="38"/>
  </r>
  <r>
    <s v="STU0301"/>
    <x v="1"/>
    <n v="16"/>
    <x v="227"/>
    <n v="85"/>
    <x v="25"/>
    <x v="0"/>
    <x v="0"/>
    <s v="Good"/>
    <n v="95"/>
    <n v="55.98"/>
    <n v="20"/>
    <n v="462"/>
    <n v="38"/>
  </r>
  <r>
    <s v="STU0302"/>
    <x v="0"/>
    <n v="15"/>
    <x v="228"/>
    <n v="77"/>
    <x v="44"/>
    <x v="0"/>
    <x v="1"/>
    <s v="Average"/>
    <n v="95"/>
    <n v="55.98"/>
    <n v="20"/>
    <n v="462"/>
    <n v="38"/>
  </r>
  <r>
    <s v="STU0303"/>
    <x v="1"/>
    <n v="19"/>
    <x v="224"/>
    <n v="43"/>
    <x v="32"/>
    <x v="0"/>
    <x v="0"/>
    <s v="Good"/>
    <n v="95"/>
    <n v="55.98"/>
    <n v="20"/>
    <n v="462"/>
    <n v="38"/>
  </r>
  <r>
    <s v="STU0304"/>
    <x v="1"/>
    <n v="15"/>
    <x v="155"/>
    <n v="73"/>
    <x v="18"/>
    <x v="0"/>
    <x v="1"/>
    <s v="Average"/>
    <n v="95"/>
    <n v="55.98"/>
    <n v="20"/>
    <n v="462"/>
    <n v="38"/>
  </r>
  <r>
    <s v="STU0305"/>
    <x v="0"/>
    <n v="19"/>
    <x v="229"/>
    <n v="70"/>
    <x v="16"/>
    <x v="0"/>
    <x v="1"/>
    <s v="Average"/>
    <n v="95"/>
    <n v="55.98"/>
    <n v="20"/>
    <n v="462"/>
    <n v="38"/>
  </r>
  <r>
    <s v="STU0306"/>
    <x v="1"/>
    <n v="15"/>
    <x v="230"/>
    <n v="51"/>
    <x v="12"/>
    <x v="0"/>
    <x v="3"/>
    <s v="Excellent"/>
    <n v="95"/>
    <n v="55.98"/>
    <n v="20"/>
    <n v="462"/>
    <n v="38"/>
  </r>
  <r>
    <s v="STU0307"/>
    <x v="0"/>
    <n v="19"/>
    <x v="231"/>
    <n v="59"/>
    <x v="28"/>
    <x v="0"/>
    <x v="2"/>
    <s v="Average"/>
    <n v="95"/>
    <n v="55.98"/>
    <n v="20"/>
    <n v="462"/>
    <n v="38"/>
  </r>
  <r>
    <s v="STU0308"/>
    <x v="1"/>
    <n v="16"/>
    <x v="232"/>
    <n v="55"/>
    <x v="44"/>
    <x v="0"/>
    <x v="1"/>
    <s v="Average"/>
    <n v="95"/>
    <n v="55.98"/>
    <n v="20"/>
    <n v="462"/>
    <n v="38"/>
  </r>
  <r>
    <s v="STU0309"/>
    <x v="1"/>
    <n v="18"/>
    <x v="5"/>
    <n v="43"/>
    <x v="54"/>
    <x v="0"/>
    <x v="1"/>
    <s v="Average"/>
    <n v="95"/>
    <n v="55.98"/>
    <n v="20"/>
    <n v="462"/>
    <n v="38"/>
  </r>
  <r>
    <s v="STU0310"/>
    <x v="0"/>
    <n v="17"/>
    <x v="233"/>
    <n v="70"/>
    <x v="19"/>
    <x v="0"/>
    <x v="2"/>
    <s v="Average"/>
    <n v="95"/>
    <n v="55.98"/>
    <n v="20"/>
    <n v="462"/>
    <n v="38"/>
  </r>
  <r>
    <s v="STU0311"/>
    <x v="1"/>
    <n v="19"/>
    <x v="139"/>
    <n v="52"/>
    <x v="32"/>
    <x v="0"/>
    <x v="0"/>
    <s v="Good"/>
    <n v="95"/>
    <n v="55.98"/>
    <n v="20"/>
    <n v="462"/>
    <n v="38"/>
  </r>
  <r>
    <s v="STU0312"/>
    <x v="1"/>
    <n v="19"/>
    <x v="50"/>
    <n v="60"/>
    <x v="40"/>
    <x v="0"/>
    <x v="2"/>
    <s v="Average"/>
    <n v="95"/>
    <n v="55.98"/>
    <n v="20"/>
    <n v="462"/>
    <n v="38"/>
  </r>
  <r>
    <s v="STU0313"/>
    <x v="0"/>
    <n v="16"/>
    <x v="234"/>
    <n v="47"/>
    <x v="31"/>
    <x v="0"/>
    <x v="2"/>
    <s v="Average"/>
    <n v="95"/>
    <n v="55.98"/>
    <n v="20"/>
    <n v="462"/>
    <n v="38"/>
  </r>
  <r>
    <s v="STU0314"/>
    <x v="1"/>
    <n v="18"/>
    <x v="17"/>
    <n v="92"/>
    <x v="44"/>
    <x v="0"/>
    <x v="1"/>
    <s v="Average"/>
    <n v="95"/>
    <n v="55.98"/>
    <n v="20"/>
    <n v="462"/>
    <n v="38"/>
  </r>
  <r>
    <s v="STU0315"/>
    <x v="0"/>
    <n v="16"/>
    <x v="235"/>
    <n v="31"/>
    <x v="48"/>
    <x v="0"/>
    <x v="2"/>
    <s v="Average"/>
    <n v="95"/>
    <n v="55.98"/>
    <n v="20"/>
    <n v="462"/>
    <n v="38"/>
  </r>
  <r>
    <s v="STU0316"/>
    <x v="0"/>
    <n v="16"/>
    <x v="12"/>
    <n v="92"/>
    <x v="14"/>
    <x v="0"/>
    <x v="0"/>
    <s v="Good"/>
    <n v="95"/>
    <n v="55.98"/>
    <n v="20"/>
    <n v="462"/>
    <n v="38"/>
  </r>
  <r>
    <s v="STU0317"/>
    <x v="1"/>
    <n v="18"/>
    <x v="84"/>
    <n v="34"/>
    <x v="61"/>
    <x v="1"/>
    <x v="1"/>
    <s v="Poor"/>
    <n v="95"/>
    <n v="55.98"/>
    <n v="20"/>
    <n v="462"/>
    <n v="38"/>
  </r>
  <r>
    <s v="STU0318"/>
    <x v="0"/>
    <n v="19"/>
    <x v="174"/>
    <n v="44"/>
    <x v="62"/>
    <x v="0"/>
    <x v="1"/>
    <s v="Poor"/>
    <n v="95"/>
    <n v="55.98"/>
    <n v="20"/>
    <n v="462"/>
    <n v="38"/>
  </r>
  <r>
    <s v="STU0319"/>
    <x v="1"/>
    <n v="19"/>
    <x v="236"/>
    <n v="43"/>
    <x v="12"/>
    <x v="0"/>
    <x v="3"/>
    <s v="Excellent"/>
    <n v="95"/>
    <n v="55.98"/>
    <n v="20"/>
    <n v="462"/>
    <n v="38"/>
  </r>
  <r>
    <s v="STU0320"/>
    <x v="0"/>
    <n v="17"/>
    <x v="237"/>
    <n v="41"/>
    <x v="35"/>
    <x v="0"/>
    <x v="3"/>
    <s v="Excellent"/>
    <n v="95"/>
    <n v="55.98"/>
    <n v="20"/>
    <n v="462"/>
    <n v="38"/>
  </r>
  <r>
    <s v="STU0321"/>
    <x v="0"/>
    <n v="16"/>
    <x v="2"/>
    <n v="51"/>
    <x v="19"/>
    <x v="0"/>
    <x v="2"/>
    <s v="Average"/>
    <n v="95"/>
    <n v="55.98"/>
    <n v="20"/>
    <n v="462"/>
    <n v="38"/>
  </r>
  <r>
    <s v="STU0322"/>
    <x v="0"/>
    <n v="16"/>
    <x v="196"/>
    <n v="51"/>
    <x v="15"/>
    <x v="0"/>
    <x v="0"/>
    <s v="Good"/>
    <n v="95"/>
    <n v="55.98"/>
    <n v="20"/>
    <n v="462"/>
    <n v="38"/>
  </r>
  <r>
    <s v="STU0323"/>
    <x v="1"/>
    <n v="17"/>
    <x v="218"/>
    <n v="82"/>
    <x v="48"/>
    <x v="0"/>
    <x v="2"/>
    <s v="Average"/>
    <n v="95"/>
    <n v="55.98"/>
    <n v="20"/>
    <n v="462"/>
    <n v="38"/>
  </r>
  <r>
    <s v="STU0324"/>
    <x v="1"/>
    <n v="16"/>
    <x v="238"/>
    <n v="61"/>
    <x v="63"/>
    <x v="0"/>
    <x v="3"/>
    <s v="Excellent"/>
    <n v="95"/>
    <n v="55.98"/>
    <n v="20"/>
    <n v="462"/>
    <n v="38"/>
  </r>
  <r>
    <s v="STU0325"/>
    <x v="1"/>
    <n v="18"/>
    <x v="239"/>
    <n v="87"/>
    <x v="5"/>
    <x v="0"/>
    <x v="1"/>
    <s v="Poor"/>
    <n v="95"/>
    <n v="55.98"/>
    <n v="20"/>
    <n v="462"/>
    <n v="38"/>
  </r>
  <r>
    <s v="STU0326"/>
    <x v="0"/>
    <n v="18"/>
    <x v="240"/>
    <n v="71"/>
    <x v="3"/>
    <x v="0"/>
    <x v="0"/>
    <s v="Good"/>
    <n v="95"/>
    <n v="55.98"/>
    <n v="20"/>
    <n v="462"/>
    <n v="38"/>
  </r>
  <r>
    <s v="STU0327"/>
    <x v="0"/>
    <n v="15"/>
    <x v="241"/>
    <n v="57"/>
    <x v="38"/>
    <x v="0"/>
    <x v="0"/>
    <s v="Good"/>
    <n v="95"/>
    <n v="55.98"/>
    <n v="20"/>
    <n v="462"/>
    <n v="38"/>
  </r>
  <r>
    <s v="STU0328"/>
    <x v="0"/>
    <n v="18"/>
    <x v="242"/>
    <n v="92"/>
    <x v="51"/>
    <x v="0"/>
    <x v="0"/>
    <s v="Good"/>
    <n v="95"/>
    <n v="55.98"/>
    <n v="20"/>
    <n v="462"/>
    <n v="38"/>
  </r>
  <r>
    <s v="STU0329"/>
    <x v="1"/>
    <n v="15"/>
    <x v="243"/>
    <n v="50"/>
    <x v="64"/>
    <x v="1"/>
    <x v="1"/>
    <s v="Poor"/>
    <n v="95"/>
    <n v="55.98"/>
    <n v="20"/>
    <n v="462"/>
    <n v="38"/>
  </r>
  <r>
    <s v="STU0330"/>
    <x v="1"/>
    <n v="15"/>
    <x v="160"/>
    <n v="65"/>
    <x v="43"/>
    <x v="0"/>
    <x v="1"/>
    <s v="Average"/>
    <n v="95"/>
    <n v="55.98"/>
    <n v="20"/>
    <n v="462"/>
    <n v="38"/>
  </r>
  <r>
    <s v="STU0331"/>
    <x v="1"/>
    <n v="17"/>
    <x v="204"/>
    <n v="69"/>
    <x v="18"/>
    <x v="0"/>
    <x v="1"/>
    <s v="Average"/>
    <n v="95"/>
    <n v="55.98"/>
    <n v="20"/>
    <n v="462"/>
    <n v="38"/>
  </r>
  <r>
    <s v="STU0332"/>
    <x v="0"/>
    <n v="18"/>
    <x v="244"/>
    <n v="91"/>
    <x v="47"/>
    <x v="0"/>
    <x v="2"/>
    <s v="Average"/>
    <n v="95"/>
    <n v="55.98"/>
    <n v="20"/>
    <n v="462"/>
    <n v="38"/>
  </r>
  <r>
    <s v="STU0333"/>
    <x v="0"/>
    <n v="19"/>
    <x v="245"/>
    <n v="73"/>
    <x v="10"/>
    <x v="0"/>
    <x v="1"/>
    <s v="Poor"/>
    <n v="95"/>
    <n v="55.98"/>
    <n v="20"/>
    <n v="462"/>
    <n v="38"/>
  </r>
  <r>
    <s v="STU0334"/>
    <x v="1"/>
    <n v="16"/>
    <x v="46"/>
    <n v="43"/>
    <x v="44"/>
    <x v="0"/>
    <x v="1"/>
    <s v="Average"/>
    <n v="95"/>
    <n v="55.98"/>
    <n v="20"/>
    <n v="462"/>
    <n v="38"/>
  </r>
  <r>
    <s v="STU0335"/>
    <x v="1"/>
    <n v="17"/>
    <x v="246"/>
    <n v="31"/>
    <x v="50"/>
    <x v="0"/>
    <x v="1"/>
    <s v="Poor"/>
    <n v="95"/>
    <n v="55.98"/>
    <n v="20"/>
    <n v="462"/>
    <n v="38"/>
  </r>
  <r>
    <s v="STU0336"/>
    <x v="0"/>
    <n v="18"/>
    <x v="247"/>
    <n v="57"/>
    <x v="23"/>
    <x v="0"/>
    <x v="1"/>
    <s v="Average"/>
    <n v="95"/>
    <n v="55.98"/>
    <n v="20"/>
    <n v="462"/>
    <n v="38"/>
  </r>
  <r>
    <s v="STU0337"/>
    <x v="0"/>
    <n v="16"/>
    <x v="248"/>
    <n v="70"/>
    <x v="14"/>
    <x v="0"/>
    <x v="0"/>
    <s v="Good"/>
    <n v="95"/>
    <n v="55.98"/>
    <n v="20"/>
    <n v="462"/>
    <n v="38"/>
  </r>
  <r>
    <s v="STU0338"/>
    <x v="0"/>
    <n v="16"/>
    <x v="249"/>
    <n v="68"/>
    <x v="8"/>
    <x v="0"/>
    <x v="1"/>
    <s v="Average"/>
    <n v="95"/>
    <n v="55.98"/>
    <n v="20"/>
    <n v="462"/>
    <n v="38"/>
  </r>
  <r>
    <s v="STU0339"/>
    <x v="0"/>
    <n v="18"/>
    <x v="250"/>
    <n v="44"/>
    <x v="24"/>
    <x v="0"/>
    <x v="1"/>
    <s v="Average"/>
    <n v="95"/>
    <n v="55.98"/>
    <n v="20"/>
    <n v="462"/>
    <n v="38"/>
  </r>
  <r>
    <s v="STU0340"/>
    <x v="1"/>
    <n v="19"/>
    <x v="251"/>
    <n v="46"/>
    <x v="62"/>
    <x v="0"/>
    <x v="1"/>
    <s v="Poor"/>
    <n v="95"/>
    <n v="55.98"/>
    <n v="20"/>
    <n v="462"/>
    <n v="38"/>
  </r>
  <r>
    <s v="STU0341"/>
    <x v="1"/>
    <n v="17"/>
    <x v="252"/>
    <n v="38"/>
    <x v="16"/>
    <x v="0"/>
    <x v="1"/>
    <s v="Average"/>
    <n v="95"/>
    <n v="55.98"/>
    <n v="20"/>
    <n v="462"/>
    <n v="38"/>
  </r>
  <r>
    <s v="STU0342"/>
    <x v="1"/>
    <n v="16"/>
    <x v="253"/>
    <n v="84"/>
    <x v="31"/>
    <x v="0"/>
    <x v="2"/>
    <s v="Average"/>
    <n v="95"/>
    <n v="55.98"/>
    <n v="20"/>
    <n v="462"/>
    <n v="38"/>
  </r>
  <r>
    <s v="STU0343"/>
    <x v="1"/>
    <n v="15"/>
    <x v="188"/>
    <n v="40"/>
    <x v="42"/>
    <x v="0"/>
    <x v="2"/>
    <s v="Average"/>
    <n v="95"/>
    <n v="55.98"/>
    <n v="20"/>
    <n v="462"/>
    <n v="38"/>
  </r>
  <r>
    <s v="STU0344"/>
    <x v="0"/>
    <n v="19"/>
    <x v="79"/>
    <n v="38"/>
    <x v="23"/>
    <x v="0"/>
    <x v="1"/>
    <s v="Average"/>
    <n v="95"/>
    <n v="55.98"/>
    <n v="20"/>
    <n v="462"/>
    <n v="38"/>
  </r>
  <r>
    <s v="STU0345"/>
    <x v="1"/>
    <n v="16"/>
    <x v="254"/>
    <n v="37"/>
    <x v="21"/>
    <x v="1"/>
    <x v="1"/>
    <s v="Poor"/>
    <n v="95"/>
    <n v="55.98"/>
    <n v="20"/>
    <n v="462"/>
    <n v="38"/>
  </r>
  <r>
    <s v="STU0346"/>
    <x v="0"/>
    <n v="15"/>
    <x v="145"/>
    <n v="74"/>
    <x v="8"/>
    <x v="0"/>
    <x v="1"/>
    <s v="Average"/>
    <n v="95"/>
    <n v="55.98"/>
    <n v="20"/>
    <n v="462"/>
    <n v="38"/>
  </r>
  <r>
    <s v="STU0347"/>
    <x v="1"/>
    <n v="16"/>
    <x v="255"/>
    <n v="72"/>
    <x v="45"/>
    <x v="0"/>
    <x v="0"/>
    <s v="Good"/>
    <n v="95"/>
    <n v="55.98"/>
    <n v="20"/>
    <n v="462"/>
    <n v="38"/>
  </r>
  <r>
    <s v="STU0348"/>
    <x v="1"/>
    <n v="17"/>
    <x v="256"/>
    <n v="88"/>
    <x v="32"/>
    <x v="0"/>
    <x v="0"/>
    <s v="Good"/>
    <n v="95"/>
    <n v="55.98"/>
    <n v="20"/>
    <n v="462"/>
    <n v="38"/>
  </r>
  <r>
    <s v="STU0349"/>
    <x v="1"/>
    <n v="15"/>
    <x v="257"/>
    <n v="62"/>
    <x v="41"/>
    <x v="0"/>
    <x v="0"/>
    <s v="Good"/>
    <n v="95"/>
    <n v="55.98"/>
    <n v="20"/>
    <n v="462"/>
    <n v="38"/>
  </r>
  <r>
    <s v="STU0350"/>
    <x v="0"/>
    <n v="19"/>
    <x v="247"/>
    <n v="31"/>
    <x v="42"/>
    <x v="0"/>
    <x v="2"/>
    <s v="Average"/>
    <n v="95"/>
    <n v="55.98"/>
    <n v="20"/>
    <n v="462"/>
    <n v="38"/>
  </r>
  <r>
    <s v="STU0351"/>
    <x v="0"/>
    <n v="18"/>
    <x v="246"/>
    <n v="83"/>
    <x v="18"/>
    <x v="0"/>
    <x v="1"/>
    <s v="Average"/>
    <n v="95"/>
    <n v="55.98"/>
    <n v="20"/>
    <n v="462"/>
    <n v="38"/>
  </r>
  <r>
    <s v="STU0352"/>
    <x v="1"/>
    <n v="16"/>
    <x v="130"/>
    <n v="77"/>
    <x v="47"/>
    <x v="0"/>
    <x v="2"/>
    <s v="Average"/>
    <n v="95"/>
    <n v="55.98"/>
    <n v="20"/>
    <n v="462"/>
    <n v="38"/>
  </r>
  <r>
    <s v="STU0353"/>
    <x v="0"/>
    <n v="16"/>
    <x v="113"/>
    <n v="89"/>
    <x v="40"/>
    <x v="0"/>
    <x v="2"/>
    <s v="Average"/>
    <n v="95"/>
    <n v="55.98"/>
    <n v="20"/>
    <n v="462"/>
    <n v="38"/>
  </r>
  <r>
    <s v="STU0354"/>
    <x v="1"/>
    <n v="17"/>
    <x v="258"/>
    <n v="67"/>
    <x v="44"/>
    <x v="0"/>
    <x v="1"/>
    <s v="Average"/>
    <n v="95"/>
    <n v="55.98"/>
    <n v="20"/>
    <n v="462"/>
    <n v="38"/>
  </r>
  <r>
    <s v="STU0355"/>
    <x v="1"/>
    <n v="19"/>
    <x v="259"/>
    <n v="61"/>
    <x v="58"/>
    <x v="0"/>
    <x v="1"/>
    <s v="Poor"/>
    <n v="95"/>
    <n v="55.98"/>
    <n v="20"/>
    <n v="462"/>
    <n v="38"/>
  </r>
  <r>
    <s v="STU0356"/>
    <x v="0"/>
    <n v="18"/>
    <x v="260"/>
    <n v="30"/>
    <x v="58"/>
    <x v="0"/>
    <x v="1"/>
    <s v="Poor"/>
    <n v="95"/>
    <n v="55.98"/>
    <n v="20"/>
    <n v="462"/>
    <n v="38"/>
  </r>
  <r>
    <s v="STU0357"/>
    <x v="1"/>
    <n v="17"/>
    <x v="196"/>
    <n v="37"/>
    <x v="65"/>
    <x v="1"/>
    <x v="1"/>
    <s v="Poor"/>
    <n v="95"/>
    <n v="55.98"/>
    <n v="20"/>
    <n v="462"/>
    <n v="38"/>
  </r>
  <r>
    <s v="STU0358"/>
    <x v="1"/>
    <n v="15"/>
    <x v="253"/>
    <n v="88"/>
    <x v="42"/>
    <x v="0"/>
    <x v="2"/>
    <s v="Average"/>
    <n v="95"/>
    <n v="55.98"/>
    <n v="20"/>
    <n v="462"/>
    <n v="38"/>
  </r>
  <r>
    <s v="STU0359"/>
    <x v="0"/>
    <n v="19"/>
    <x v="69"/>
    <n v="85"/>
    <x v="19"/>
    <x v="0"/>
    <x v="2"/>
    <s v="Average"/>
    <n v="95"/>
    <n v="55.98"/>
    <n v="20"/>
    <n v="462"/>
    <n v="38"/>
  </r>
  <r>
    <s v="STU0360"/>
    <x v="0"/>
    <n v="16"/>
    <x v="261"/>
    <n v="70"/>
    <x v="18"/>
    <x v="0"/>
    <x v="1"/>
    <s v="Average"/>
    <n v="95"/>
    <n v="55.98"/>
    <n v="20"/>
    <n v="462"/>
    <n v="38"/>
  </r>
  <r>
    <s v="STU0361"/>
    <x v="1"/>
    <n v="16"/>
    <x v="262"/>
    <n v="43"/>
    <x v="56"/>
    <x v="1"/>
    <x v="1"/>
    <s v="Poor"/>
    <n v="95"/>
    <n v="55.98"/>
    <n v="20"/>
    <n v="462"/>
    <n v="38"/>
  </r>
  <r>
    <s v="STU0362"/>
    <x v="1"/>
    <n v="18"/>
    <x v="263"/>
    <n v="87"/>
    <x v="46"/>
    <x v="0"/>
    <x v="2"/>
    <s v="Average"/>
    <n v="95"/>
    <n v="55.98"/>
    <n v="20"/>
    <n v="462"/>
    <n v="38"/>
  </r>
  <r>
    <s v="STU0363"/>
    <x v="1"/>
    <n v="17"/>
    <x v="30"/>
    <n v="57"/>
    <x v="36"/>
    <x v="0"/>
    <x v="0"/>
    <s v="Good"/>
    <n v="95"/>
    <n v="55.98"/>
    <n v="20"/>
    <n v="462"/>
    <n v="38"/>
  </r>
  <r>
    <s v="STU0364"/>
    <x v="0"/>
    <n v="15"/>
    <x v="264"/>
    <n v="68"/>
    <x v="32"/>
    <x v="0"/>
    <x v="0"/>
    <s v="Good"/>
    <n v="95"/>
    <n v="55.98"/>
    <n v="20"/>
    <n v="462"/>
    <n v="38"/>
  </r>
  <r>
    <s v="STU0365"/>
    <x v="0"/>
    <n v="15"/>
    <x v="265"/>
    <n v="89"/>
    <x v="47"/>
    <x v="0"/>
    <x v="2"/>
    <s v="Average"/>
    <n v="95"/>
    <n v="55.98"/>
    <n v="20"/>
    <n v="462"/>
    <n v="38"/>
  </r>
  <r>
    <s v="STU0366"/>
    <x v="0"/>
    <n v="15"/>
    <x v="266"/>
    <n v="81"/>
    <x v="26"/>
    <x v="1"/>
    <x v="1"/>
    <s v="Poor"/>
    <n v="95"/>
    <n v="55.98"/>
    <n v="20"/>
    <n v="462"/>
    <n v="38"/>
  </r>
  <r>
    <s v="STU0367"/>
    <x v="0"/>
    <n v="19"/>
    <x v="267"/>
    <n v="55"/>
    <x v="11"/>
    <x v="0"/>
    <x v="0"/>
    <s v="Good"/>
    <n v="95"/>
    <n v="55.98"/>
    <n v="20"/>
    <n v="462"/>
    <n v="38"/>
  </r>
  <r>
    <s v="STU0368"/>
    <x v="1"/>
    <n v="16"/>
    <x v="153"/>
    <n v="89"/>
    <x v="10"/>
    <x v="0"/>
    <x v="1"/>
    <s v="Poor"/>
    <n v="95"/>
    <n v="55.98"/>
    <n v="20"/>
    <n v="462"/>
    <n v="38"/>
  </r>
  <r>
    <s v="STU0369"/>
    <x v="0"/>
    <n v="19"/>
    <x v="208"/>
    <n v="78"/>
    <x v="37"/>
    <x v="0"/>
    <x v="0"/>
    <s v="Good"/>
    <n v="95"/>
    <n v="55.98"/>
    <n v="20"/>
    <n v="462"/>
    <n v="38"/>
  </r>
  <r>
    <s v="STU0370"/>
    <x v="1"/>
    <n v="16"/>
    <x v="57"/>
    <n v="87"/>
    <x v="8"/>
    <x v="0"/>
    <x v="1"/>
    <s v="Average"/>
    <n v="95"/>
    <n v="55.98"/>
    <n v="20"/>
    <n v="462"/>
    <n v="38"/>
  </r>
  <r>
    <s v="STU0371"/>
    <x v="0"/>
    <n v="19"/>
    <x v="268"/>
    <n v="91"/>
    <x v="33"/>
    <x v="0"/>
    <x v="2"/>
    <s v="Average"/>
    <n v="95"/>
    <n v="55.98"/>
    <n v="20"/>
    <n v="462"/>
    <n v="38"/>
  </r>
  <r>
    <s v="STU0372"/>
    <x v="0"/>
    <n v="17"/>
    <x v="165"/>
    <n v="78"/>
    <x v="51"/>
    <x v="0"/>
    <x v="0"/>
    <s v="Good"/>
    <n v="95"/>
    <n v="55.98"/>
    <n v="20"/>
    <n v="462"/>
    <n v="38"/>
  </r>
  <r>
    <s v="STU0373"/>
    <x v="1"/>
    <n v="18"/>
    <x v="102"/>
    <n v="64"/>
    <x v="42"/>
    <x v="0"/>
    <x v="2"/>
    <s v="Average"/>
    <n v="95"/>
    <n v="55.98"/>
    <n v="20"/>
    <n v="462"/>
    <n v="38"/>
  </r>
  <r>
    <s v="STU0374"/>
    <x v="0"/>
    <n v="17"/>
    <x v="269"/>
    <n v="75"/>
    <x v="55"/>
    <x v="0"/>
    <x v="0"/>
    <s v="Good"/>
    <n v="95"/>
    <n v="55.98"/>
    <n v="20"/>
    <n v="462"/>
    <n v="38"/>
  </r>
  <r>
    <s v="STU0375"/>
    <x v="0"/>
    <n v="16"/>
    <x v="264"/>
    <n v="58"/>
    <x v="43"/>
    <x v="0"/>
    <x v="1"/>
    <s v="Average"/>
    <n v="95"/>
    <n v="55.98"/>
    <n v="20"/>
    <n v="462"/>
    <n v="38"/>
  </r>
  <r>
    <s v="STU0376"/>
    <x v="1"/>
    <n v="17"/>
    <x v="270"/>
    <n v="70"/>
    <x v="66"/>
    <x v="0"/>
    <x v="4"/>
    <s v="Excellent"/>
    <n v="95"/>
    <n v="55.98"/>
    <n v="20"/>
    <n v="462"/>
    <n v="38"/>
  </r>
  <r>
    <s v="STU0377"/>
    <x v="1"/>
    <n v="19"/>
    <x v="5"/>
    <n v="93"/>
    <x v="2"/>
    <x v="0"/>
    <x v="1"/>
    <s v="Average"/>
    <n v="95"/>
    <n v="55.98"/>
    <n v="20"/>
    <n v="462"/>
    <n v="38"/>
  </r>
  <r>
    <s v="STU0378"/>
    <x v="1"/>
    <n v="16"/>
    <x v="42"/>
    <n v="32"/>
    <x v="18"/>
    <x v="0"/>
    <x v="1"/>
    <s v="Average"/>
    <n v="95"/>
    <n v="55.98"/>
    <n v="20"/>
    <n v="462"/>
    <n v="38"/>
  </r>
  <r>
    <s v="STU0379"/>
    <x v="1"/>
    <n v="15"/>
    <x v="211"/>
    <n v="52"/>
    <x v="0"/>
    <x v="0"/>
    <x v="0"/>
    <s v="Good"/>
    <n v="95"/>
    <n v="55.98"/>
    <n v="20"/>
    <n v="462"/>
    <n v="38"/>
  </r>
  <r>
    <s v="STU0380"/>
    <x v="1"/>
    <n v="15"/>
    <x v="271"/>
    <n v="39"/>
    <x v="21"/>
    <x v="1"/>
    <x v="1"/>
    <s v="Poor"/>
    <n v="95"/>
    <n v="55.98"/>
    <n v="20"/>
    <n v="462"/>
    <n v="38"/>
  </r>
  <r>
    <s v="STU0381"/>
    <x v="1"/>
    <n v="19"/>
    <x v="3"/>
    <n v="85"/>
    <x v="47"/>
    <x v="0"/>
    <x v="2"/>
    <s v="Average"/>
    <n v="95"/>
    <n v="55.98"/>
    <n v="20"/>
    <n v="462"/>
    <n v="38"/>
  </r>
  <r>
    <s v="STU0382"/>
    <x v="1"/>
    <n v="17"/>
    <x v="145"/>
    <n v="52"/>
    <x v="23"/>
    <x v="0"/>
    <x v="1"/>
    <s v="Average"/>
    <n v="95"/>
    <n v="55.98"/>
    <n v="20"/>
    <n v="462"/>
    <n v="38"/>
  </r>
  <r>
    <s v="STU0383"/>
    <x v="1"/>
    <n v="17"/>
    <x v="221"/>
    <n v="53"/>
    <x v="24"/>
    <x v="0"/>
    <x v="1"/>
    <s v="Average"/>
    <n v="95"/>
    <n v="55.98"/>
    <n v="20"/>
    <n v="462"/>
    <n v="38"/>
  </r>
  <r>
    <s v="STU0384"/>
    <x v="1"/>
    <n v="19"/>
    <x v="232"/>
    <n v="72"/>
    <x v="45"/>
    <x v="0"/>
    <x v="0"/>
    <s v="Good"/>
    <n v="95"/>
    <n v="55.98"/>
    <n v="20"/>
    <n v="462"/>
    <n v="38"/>
  </r>
  <r>
    <s v="STU0385"/>
    <x v="0"/>
    <n v="16"/>
    <x v="272"/>
    <n v="87"/>
    <x v="48"/>
    <x v="0"/>
    <x v="2"/>
    <s v="Average"/>
    <n v="95"/>
    <n v="55.98"/>
    <n v="20"/>
    <n v="462"/>
    <n v="38"/>
  </r>
  <r>
    <s v="STU0386"/>
    <x v="1"/>
    <n v="16"/>
    <x v="234"/>
    <n v="30"/>
    <x v="64"/>
    <x v="1"/>
    <x v="1"/>
    <s v="Poor"/>
    <n v="95"/>
    <n v="55.98"/>
    <n v="20"/>
    <n v="462"/>
    <n v="38"/>
  </r>
  <r>
    <s v="STU0387"/>
    <x v="1"/>
    <n v="18"/>
    <x v="58"/>
    <n v="78"/>
    <x v="3"/>
    <x v="0"/>
    <x v="0"/>
    <s v="Good"/>
    <n v="95"/>
    <n v="55.98"/>
    <n v="20"/>
    <n v="462"/>
    <n v="38"/>
  </r>
  <r>
    <s v="STU0388"/>
    <x v="1"/>
    <n v="15"/>
    <x v="273"/>
    <n v="87"/>
    <x v="34"/>
    <x v="0"/>
    <x v="0"/>
    <s v="Good"/>
    <n v="95"/>
    <n v="55.98"/>
    <n v="20"/>
    <n v="462"/>
    <n v="38"/>
  </r>
  <r>
    <s v="STU0389"/>
    <x v="0"/>
    <n v="17"/>
    <x v="154"/>
    <n v="51"/>
    <x v="52"/>
    <x v="1"/>
    <x v="1"/>
    <s v="Poor"/>
    <n v="95"/>
    <n v="55.98"/>
    <n v="20"/>
    <n v="462"/>
    <n v="38"/>
  </r>
  <r>
    <s v="STU0390"/>
    <x v="0"/>
    <n v="15"/>
    <x v="274"/>
    <n v="33"/>
    <x v="25"/>
    <x v="0"/>
    <x v="0"/>
    <s v="Good"/>
    <n v="95"/>
    <n v="55.98"/>
    <n v="20"/>
    <n v="462"/>
    <n v="38"/>
  </r>
  <r>
    <s v="STU0391"/>
    <x v="0"/>
    <n v="19"/>
    <x v="275"/>
    <n v="56"/>
    <x v="34"/>
    <x v="0"/>
    <x v="0"/>
    <s v="Good"/>
    <n v="95"/>
    <n v="55.98"/>
    <n v="20"/>
    <n v="462"/>
    <n v="38"/>
  </r>
  <r>
    <s v="STU0392"/>
    <x v="1"/>
    <n v="19"/>
    <x v="276"/>
    <n v="68"/>
    <x v="37"/>
    <x v="0"/>
    <x v="0"/>
    <s v="Good"/>
    <n v="95"/>
    <n v="55.98"/>
    <n v="20"/>
    <n v="462"/>
    <n v="38"/>
  </r>
  <r>
    <s v="STU0393"/>
    <x v="0"/>
    <n v="15"/>
    <x v="277"/>
    <n v="76"/>
    <x v="8"/>
    <x v="0"/>
    <x v="1"/>
    <s v="Average"/>
    <n v="95"/>
    <n v="55.98"/>
    <n v="20"/>
    <n v="462"/>
    <n v="38"/>
  </r>
  <r>
    <s v="STU0394"/>
    <x v="1"/>
    <n v="15"/>
    <x v="201"/>
    <n v="42"/>
    <x v="5"/>
    <x v="0"/>
    <x v="1"/>
    <s v="Poor"/>
    <n v="95"/>
    <n v="55.98"/>
    <n v="20"/>
    <n v="462"/>
    <n v="38"/>
  </r>
  <r>
    <s v="STU0395"/>
    <x v="0"/>
    <n v="16"/>
    <x v="278"/>
    <n v="69"/>
    <x v="38"/>
    <x v="0"/>
    <x v="0"/>
    <s v="Good"/>
    <n v="95"/>
    <n v="55.98"/>
    <n v="20"/>
    <n v="462"/>
    <n v="38"/>
  </r>
  <r>
    <s v="STU0396"/>
    <x v="1"/>
    <n v="18"/>
    <x v="279"/>
    <n v="53"/>
    <x v="45"/>
    <x v="0"/>
    <x v="0"/>
    <s v="Good"/>
    <n v="95"/>
    <n v="55.98"/>
    <n v="20"/>
    <n v="462"/>
    <n v="38"/>
  </r>
  <r>
    <s v="STU0397"/>
    <x v="1"/>
    <n v="17"/>
    <x v="202"/>
    <n v="63"/>
    <x v="58"/>
    <x v="0"/>
    <x v="1"/>
    <s v="Poor"/>
    <n v="95"/>
    <n v="55.98"/>
    <n v="20"/>
    <n v="462"/>
    <n v="38"/>
  </r>
  <r>
    <s v="STU0398"/>
    <x v="1"/>
    <n v="19"/>
    <x v="280"/>
    <n v="82"/>
    <x v="54"/>
    <x v="0"/>
    <x v="1"/>
    <s v="Average"/>
    <n v="95"/>
    <n v="55.98"/>
    <n v="20"/>
    <n v="462"/>
    <n v="38"/>
  </r>
  <r>
    <s v="STU0399"/>
    <x v="0"/>
    <n v="19"/>
    <x v="281"/>
    <n v="60"/>
    <x v="8"/>
    <x v="0"/>
    <x v="1"/>
    <s v="Average"/>
    <n v="95"/>
    <n v="55.98"/>
    <n v="20"/>
    <n v="462"/>
    <n v="38"/>
  </r>
  <r>
    <s v="STU0400"/>
    <x v="1"/>
    <n v="15"/>
    <x v="282"/>
    <n v="87"/>
    <x v="7"/>
    <x v="0"/>
    <x v="2"/>
    <s v="Average"/>
    <n v="95"/>
    <n v="55.98"/>
    <n v="20"/>
    <n v="462"/>
    <n v="38"/>
  </r>
  <r>
    <s v="STU0401"/>
    <x v="0"/>
    <n v="16"/>
    <x v="24"/>
    <n v="85"/>
    <x v="36"/>
    <x v="0"/>
    <x v="0"/>
    <s v="Good"/>
    <n v="95"/>
    <n v="55.98"/>
    <n v="20"/>
    <n v="462"/>
    <n v="38"/>
  </r>
  <r>
    <s v="STU0402"/>
    <x v="0"/>
    <n v="19"/>
    <x v="283"/>
    <n v="80"/>
    <x v="40"/>
    <x v="0"/>
    <x v="2"/>
    <s v="Average"/>
    <n v="95"/>
    <n v="55.98"/>
    <n v="20"/>
    <n v="462"/>
    <n v="38"/>
  </r>
  <r>
    <s v="STU0403"/>
    <x v="1"/>
    <n v="17"/>
    <x v="125"/>
    <n v="83"/>
    <x v="47"/>
    <x v="0"/>
    <x v="2"/>
    <s v="Average"/>
    <n v="95"/>
    <n v="55.98"/>
    <n v="20"/>
    <n v="462"/>
    <n v="38"/>
  </r>
  <r>
    <s v="STU0404"/>
    <x v="0"/>
    <n v="19"/>
    <x v="284"/>
    <n v="66"/>
    <x v="34"/>
    <x v="0"/>
    <x v="0"/>
    <s v="Good"/>
    <n v="95"/>
    <n v="55.98"/>
    <n v="20"/>
    <n v="462"/>
    <n v="38"/>
  </r>
  <r>
    <s v="STU0405"/>
    <x v="1"/>
    <n v="18"/>
    <x v="12"/>
    <n v="52"/>
    <x v="50"/>
    <x v="0"/>
    <x v="1"/>
    <s v="Poor"/>
    <n v="95"/>
    <n v="55.98"/>
    <n v="20"/>
    <n v="462"/>
    <n v="38"/>
  </r>
  <r>
    <s v="STU0406"/>
    <x v="1"/>
    <n v="16"/>
    <x v="66"/>
    <n v="72"/>
    <x v="4"/>
    <x v="0"/>
    <x v="0"/>
    <s v="Good"/>
    <n v="95"/>
    <n v="55.98"/>
    <n v="20"/>
    <n v="462"/>
    <n v="38"/>
  </r>
  <r>
    <s v="STU0407"/>
    <x v="0"/>
    <n v="15"/>
    <x v="285"/>
    <n v="73"/>
    <x v="12"/>
    <x v="0"/>
    <x v="3"/>
    <s v="Excellent"/>
    <n v="95"/>
    <n v="55.98"/>
    <n v="20"/>
    <n v="462"/>
    <n v="38"/>
  </r>
  <r>
    <s v="STU0408"/>
    <x v="1"/>
    <n v="17"/>
    <x v="235"/>
    <n v="68"/>
    <x v="11"/>
    <x v="0"/>
    <x v="0"/>
    <s v="Good"/>
    <n v="95"/>
    <n v="55.98"/>
    <n v="20"/>
    <n v="462"/>
    <n v="38"/>
  </r>
  <r>
    <s v="STU0409"/>
    <x v="1"/>
    <n v="17"/>
    <x v="200"/>
    <n v="86"/>
    <x v="2"/>
    <x v="0"/>
    <x v="1"/>
    <s v="Average"/>
    <n v="95"/>
    <n v="55.98"/>
    <n v="20"/>
    <n v="462"/>
    <n v="38"/>
  </r>
  <r>
    <s v="STU0410"/>
    <x v="1"/>
    <n v="18"/>
    <x v="74"/>
    <n v="38"/>
    <x v="51"/>
    <x v="0"/>
    <x v="0"/>
    <s v="Good"/>
    <n v="95"/>
    <n v="55.98"/>
    <n v="20"/>
    <n v="462"/>
    <n v="38"/>
  </r>
  <r>
    <s v="STU0411"/>
    <x v="1"/>
    <n v="16"/>
    <x v="286"/>
    <n v="54"/>
    <x v="34"/>
    <x v="0"/>
    <x v="0"/>
    <s v="Good"/>
    <n v="95"/>
    <n v="55.98"/>
    <n v="20"/>
    <n v="462"/>
    <n v="38"/>
  </r>
  <r>
    <s v="STU0412"/>
    <x v="0"/>
    <n v="16"/>
    <x v="287"/>
    <n v="77"/>
    <x v="43"/>
    <x v="0"/>
    <x v="1"/>
    <s v="Average"/>
    <n v="95"/>
    <n v="55.98"/>
    <n v="20"/>
    <n v="462"/>
    <n v="38"/>
  </r>
  <r>
    <s v="STU0413"/>
    <x v="1"/>
    <n v="15"/>
    <x v="288"/>
    <n v="52"/>
    <x v="45"/>
    <x v="0"/>
    <x v="0"/>
    <s v="Good"/>
    <n v="95"/>
    <n v="55.98"/>
    <n v="20"/>
    <n v="462"/>
    <n v="38"/>
  </r>
  <r>
    <s v="STU0414"/>
    <x v="1"/>
    <n v="17"/>
    <x v="289"/>
    <n v="33"/>
    <x v="24"/>
    <x v="0"/>
    <x v="1"/>
    <s v="Average"/>
    <n v="95"/>
    <n v="55.98"/>
    <n v="20"/>
    <n v="462"/>
    <n v="38"/>
  </r>
  <r>
    <s v="STU0415"/>
    <x v="0"/>
    <n v="16"/>
    <x v="277"/>
    <n v="56"/>
    <x v="37"/>
    <x v="0"/>
    <x v="0"/>
    <s v="Good"/>
    <n v="95"/>
    <n v="55.98"/>
    <n v="20"/>
    <n v="462"/>
    <n v="38"/>
  </r>
  <r>
    <s v="STU0416"/>
    <x v="1"/>
    <n v="19"/>
    <x v="290"/>
    <n v="52"/>
    <x v="44"/>
    <x v="0"/>
    <x v="1"/>
    <s v="Average"/>
    <n v="95"/>
    <n v="55.98"/>
    <n v="20"/>
    <n v="462"/>
    <n v="38"/>
  </r>
  <r>
    <s v="STU0417"/>
    <x v="0"/>
    <n v="16"/>
    <x v="66"/>
    <n v="78"/>
    <x v="46"/>
    <x v="0"/>
    <x v="2"/>
    <s v="Average"/>
    <n v="95"/>
    <n v="55.98"/>
    <n v="20"/>
    <n v="462"/>
    <n v="38"/>
  </r>
  <r>
    <s v="STU0418"/>
    <x v="1"/>
    <n v="17"/>
    <x v="291"/>
    <n v="30"/>
    <x v="43"/>
    <x v="0"/>
    <x v="1"/>
    <s v="Average"/>
    <n v="95"/>
    <n v="55.98"/>
    <n v="20"/>
    <n v="462"/>
    <n v="38"/>
  </r>
  <r>
    <s v="STU0419"/>
    <x v="1"/>
    <n v="19"/>
    <x v="85"/>
    <n v="91"/>
    <x v="25"/>
    <x v="0"/>
    <x v="0"/>
    <s v="Good"/>
    <n v="95"/>
    <n v="55.98"/>
    <n v="20"/>
    <n v="462"/>
    <n v="38"/>
  </r>
  <r>
    <s v="STU0420"/>
    <x v="1"/>
    <n v="17"/>
    <x v="292"/>
    <n v="54"/>
    <x v="40"/>
    <x v="0"/>
    <x v="2"/>
    <s v="Average"/>
    <n v="95"/>
    <n v="55.98"/>
    <n v="20"/>
    <n v="462"/>
    <n v="38"/>
  </r>
  <r>
    <s v="STU0421"/>
    <x v="0"/>
    <n v="15"/>
    <x v="293"/>
    <n v="47"/>
    <x v="63"/>
    <x v="0"/>
    <x v="3"/>
    <s v="Excellent"/>
    <n v="95"/>
    <n v="55.98"/>
    <n v="20"/>
    <n v="462"/>
    <n v="38"/>
  </r>
  <r>
    <s v="STU0422"/>
    <x v="0"/>
    <n v="18"/>
    <x v="261"/>
    <n v="34"/>
    <x v="44"/>
    <x v="0"/>
    <x v="1"/>
    <s v="Average"/>
    <n v="95"/>
    <n v="55.98"/>
    <n v="20"/>
    <n v="462"/>
    <n v="38"/>
  </r>
  <r>
    <s v="STU0423"/>
    <x v="0"/>
    <n v="17"/>
    <x v="294"/>
    <n v="94"/>
    <x v="38"/>
    <x v="0"/>
    <x v="0"/>
    <s v="Good"/>
    <n v="95"/>
    <n v="55.98"/>
    <n v="20"/>
    <n v="462"/>
    <n v="38"/>
  </r>
  <r>
    <s v="STU0424"/>
    <x v="0"/>
    <n v="19"/>
    <x v="295"/>
    <n v="53"/>
    <x v="16"/>
    <x v="0"/>
    <x v="1"/>
    <s v="Average"/>
    <n v="95"/>
    <n v="55.98"/>
    <n v="20"/>
    <n v="462"/>
    <n v="38"/>
  </r>
  <r>
    <s v="STU0425"/>
    <x v="1"/>
    <n v="15"/>
    <x v="296"/>
    <n v="77"/>
    <x v="6"/>
    <x v="0"/>
    <x v="1"/>
    <s v="Average"/>
    <n v="95"/>
    <n v="55.98"/>
    <n v="20"/>
    <n v="462"/>
    <n v="38"/>
  </r>
  <r>
    <s v="STU0426"/>
    <x v="1"/>
    <n v="18"/>
    <x v="82"/>
    <n v="54"/>
    <x v="17"/>
    <x v="0"/>
    <x v="0"/>
    <s v="Good"/>
    <n v="95"/>
    <n v="55.98"/>
    <n v="20"/>
    <n v="462"/>
    <n v="38"/>
  </r>
  <r>
    <s v="STU0427"/>
    <x v="0"/>
    <n v="18"/>
    <x v="297"/>
    <n v="55"/>
    <x v="40"/>
    <x v="0"/>
    <x v="2"/>
    <s v="Average"/>
    <n v="95"/>
    <n v="55.98"/>
    <n v="20"/>
    <n v="462"/>
    <n v="38"/>
  </r>
  <r>
    <s v="STU0428"/>
    <x v="1"/>
    <n v="19"/>
    <x v="153"/>
    <n v="53"/>
    <x v="67"/>
    <x v="0"/>
    <x v="4"/>
    <s v="Excellent"/>
    <n v="95"/>
    <n v="55.98"/>
    <n v="20"/>
    <n v="462"/>
    <n v="38"/>
  </r>
  <r>
    <s v="STU0429"/>
    <x v="0"/>
    <n v="18"/>
    <x v="298"/>
    <n v="30"/>
    <x v="54"/>
    <x v="0"/>
    <x v="1"/>
    <s v="Average"/>
    <n v="95"/>
    <n v="55.98"/>
    <n v="20"/>
    <n v="462"/>
    <n v="38"/>
  </r>
  <r>
    <s v="STU0430"/>
    <x v="1"/>
    <n v="16"/>
    <x v="121"/>
    <n v="41"/>
    <x v="25"/>
    <x v="0"/>
    <x v="0"/>
    <s v="Good"/>
    <n v="95"/>
    <n v="55.98"/>
    <n v="20"/>
    <n v="462"/>
    <n v="38"/>
  </r>
  <r>
    <s v="STU0431"/>
    <x v="1"/>
    <n v="18"/>
    <x v="220"/>
    <n v="34"/>
    <x v="48"/>
    <x v="0"/>
    <x v="2"/>
    <s v="Average"/>
    <n v="95"/>
    <n v="55.98"/>
    <n v="20"/>
    <n v="462"/>
    <n v="38"/>
  </r>
  <r>
    <s v="STU0432"/>
    <x v="0"/>
    <n v="17"/>
    <x v="70"/>
    <n v="30"/>
    <x v="6"/>
    <x v="0"/>
    <x v="1"/>
    <s v="Average"/>
    <n v="95"/>
    <n v="55.98"/>
    <n v="20"/>
    <n v="462"/>
    <n v="38"/>
  </r>
  <r>
    <s v="STU0433"/>
    <x v="0"/>
    <n v="16"/>
    <x v="14"/>
    <n v="79"/>
    <x v="35"/>
    <x v="0"/>
    <x v="3"/>
    <s v="Excellent"/>
    <n v="95"/>
    <n v="55.98"/>
    <n v="20"/>
    <n v="462"/>
    <n v="38"/>
  </r>
  <r>
    <s v="STU0434"/>
    <x v="1"/>
    <n v="16"/>
    <x v="201"/>
    <n v="73"/>
    <x v="44"/>
    <x v="0"/>
    <x v="1"/>
    <s v="Average"/>
    <n v="95"/>
    <n v="55.98"/>
    <n v="20"/>
    <n v="462"/>
    <n v="38"/>
  </r>
  <r>
    <s v="STU0435"/>
    <x v="0"/>
    <n v="17"/>
    <x v="299"/>
    <n v="32"/>
    <x v="15"/>
    <x v="0"/>
    <x v="0"/>
    <s v="Good"/>
    <n v="95"/>
    <n v="55.98"/>
    <n v="20"/>
    <n v="462"/>
    <n v="38"/>
  </r>
  <r>
    <s v="STU0436"/>
    <x v="0"/>
    <n v="16"/>
    <x v="300"/>
    <n v="76"/>
    <x v="45"/>
    <x v="0"/>
    <x v="0"/>
    <s v="Good"/>
    <n v="95"/>
    <n v="55.98"/>
    <n v="20"/>
    <n v="462"/>
    <n v="38"/>
  </r>
  <r>
    <s v="STU0437"/>
    <x v="0"/>
    <n v="18"/>
    <x v="232"/>
    <n v="43"/>
    <x v="68"/>
    <x v="0"/>
    <x v="3"/>
    <s v="Excellent"/>
    <n v="95"/>
    <n v="55.98"/>
    <n v="20"/>
    <n v="462"/>
    <n v="38"/>
  </r>
  <r>
    <s v="STU0438"/>
    <x v="0"/>
    <n v="15"/>
    <x v="301"/>
    <n v="62"/>
    <x v="15"/>
    <x v="0"/>
    <x v="0"/>
    <s v="Good"/>
    <n v="95"/>
    <n v="55.98"/>
    <n v="20"/>
    <n v="462"/>
    <n v="38"/>
  </r>
  <r>
    <s v="STU0439"/>
    <x v="0"/>
    <n v="16"/>
    <x v="128"/>
    <n v="42"/>
    <x v="20"/>
    <x v="0"/>
    <x v="0"/>
    <s v="Good"/>
    <n v="95"/>
    <n v="55.98"/>
    <n v="20"/>
    <n v="462"/>
    <n v="38"/>
  </r>
  <r>
    <s v="STU0440"/>
    <x v="1"/>
    <n v="19"/>
    <x v="302"/>
    <n v="66"/>
    <x v="42"/>
    <x v="0"/>
    <x v="2"/>
    <s v="Average"/>
    <n v="95"/>
    <n v="55.98"/>
    <n v="20"/>
    <n v="462"/>
    <n v="38"/>
  </r>
  <r>
    <s v="STU0441"/>
    <x v="0"/>
    <n v="18"/>
    <x v="150"/>
    <n v="82"/>
    <x v="16"/>
    <x v="0"/>
    <x v="1"/>
    <s v="Average"/>
    <n v="95"/>
    <n v="55.98"/>
    <n v="20"/>
    <n v="462"/>
    <n v="38"/>
  </r>
  <r>
    <s v="STU0442"/>
    <x v="0"/>
    <n v="15"/>
    <x v="303"/>
    <n v="60"/>
    <x v="54"/>
    <x v="0"/>
    <x v="1"/>
    <s v="Average"/>
    <n v="95"/>
    <n v="55.98"/>
    <n v="20"/>
    <n v="462"/>
    <n v="38"/>
  </r>
  <r>
    <s v="STU0443"/>
    <x v="0"/>
    <n v="15"/>
    <x v="304"/>
    <n v="95"/>
    <x v="24"/>
    <x v="0"/>
    <x v="1"/>
    <s v="Average"/>
    <n v="95"/>
    <n v="55.98"/>
    <n v="20"/>
    <n v="462"/>
    <n v="38"/>
  </r>
  <r>
    <s v="STU0444"/>
    <x v="0"/>
    <n v="17"/>
    <x v="260"/>
    <n v="36"/>
    <x v="16"/>
    <x v="0"/>
    <x v="1"/>
    <s v="Average"/>
    <n v="95"/>
    <n v="55.98"/>
    <n v="20"/>
    <n v="462"/>
    <n v="38"/>
  </r>
  <r>
    <s v="STU0445"/>
    <x v="0"/>
    <n v="15"/>
    <x v="168"/>
    <n v="42"/>
    <x v="35"/>
    <x v="0"/>
    <x v="3"/>
    <s v="Excellent"/>
    <n v="95"/>
    <n v="55.98"/>
    <n v="20"/>
    <n v="462"/>
    <n v="38"/>
  </r>
  <r>
    <s v="STU0446"/>
    <x v="0"/>
    <n v="15"/>
    <x v="165"/>
    <n v="86"/>
    <x v="59"/>
    <x v="0"/>
    <x v="3"/>
    <s v="Excellent"/>
    <n v="95"/>
    <n v="55.98"/>
    <n v="20"/>
    <n v="462"/>
    <n v="38"/>
  </r>
  <r>
    <s v="STU0447"/>
    <x v="1"/>
    <n v="15"/>
    <x v="305"/>
    <n v="81"/>
    <x v="32"/>
    <x v="0"/>
    <x v="0"/>
    <s v="Good"/>
    <n v="95"/>
    <n v="55.98"/>
    <n v="20"/>
    <n v="462"/>
    <n v="38"/>
  </r>
  <r>
    <s v="STU0448"/>
    <x v="1"/>
    <n v="18"/>
    <x v="214"/>
    <n v="46"/>
    <x v="14"/>
    <x v="0"/>
    <x v="0"/>
    <s v="Good"/>
    <n v="95"/>
    <n v="55.98"/>
    <n v="20"/>
    <n v="462"/>
    <n v="38"/>
  </r>
  <r>
    <s v="STU0449"/>
    <x v="0"/>
    <n v="16"/>
    <x v="158"/>
    <n v="53"/>
    <x v="23"/>
    <x v="0"/>
    <x v="1"/>
    <s v="Average"/>
    <n v="95"/>
    <n v="55.98"/>
    <n v="20"/>
    <n v="462"/>
    <n v="38"/>
  </r>
  <r>
    <s v="STU0450"/>
    <x v="1"/>
    <n v="17"/>
    <x v="306"/>
    <n v="44"/>
    <x v="19"/>
    <x v="0"/>
    <x v="2"/>
    <s v="Average"/>
    <n v="95"/>
    <n v="55.98"/>
    <n v="20"/>
    <n v="462"/>
    <n v="38"/>
  </r>
  <r>
    <s v="STU0451"/>
    <x v="1"/>
    <n v="15"/>
    <x v="307"/>
    <n v="73"/>
    <x v="43"/>
    <x v="0"/>
    <x v="1"/>
    <s v="Average"/>
    <n v="95"/>
    <n v="55.98"/>
    <n v="20"/>
    <n v="462"/>
    <n v="38"/>
  </r>
  <r>
    <s v="STU0452"/>
    <x v="0"/>
    <n v="18"/>
    <x v="118"/>
    <n v="49"/>
    <x v="17"/>
    <x v="0"/>
    <x v="0"/>
    <s v="Good"/>
    <n v="95"/>
    <n v="55.98"/>
    <n v="20"/>
    <n v="462"/>
    <n v="38"/>
  </r>
  <r>
    <s v="STU0453"/>
    <x v="0"/>
    <n v="15"/>
    <x v="152"/>
    <n v="51"/>
    <x v="33"/>
    <x v="0"/>
    <x v="2"/>
    <s v="Average"/>
    <n v="95"/>
    <n v="55.98"/>
    <n v="20"/>
    <n v="462"/>
    <n v="38"/>
  </r>
  <r>
    <s v="STU0454"/>
    <x v="1"/>
    <n v="17"/>
    <x v="21"/>
    <n v="78"/>
    <x v="16"/>
    <x v="0"/>
    <x v="1"/>
    <s v="Average"/>
    <n v="95"/>
    <n v="55.98"/>
    <n v="20"/>
    <n v="462"/>
    <n v="38"/>
  </r>
  <r>
    <s v="STU0455"/>
    <x v="0"/>
    <n v="15"/>
    <x v="119"/>
    <n v="93"/>
    <x v="51"/>
    <x v="0"/>
    <x v="0"/>
    <s v="Good"/>
    <n v="95"/>
    <n v="55.98"/>
    <n v="20"/>
    <n v="462"/>
    <n v="38"/>
  </r>
  <r>
    <s v="STU0456"/>
    <x v="1"/>
    <n v="15"/>
    <x v="308"/>
    <n v="82"/>
    <x v="47"/>
    <x v="0"/>
    <x v="2"/>
    <s v="Average"/>
    <n v="95"/>
    <n v="55.98"/>
    <n v="20"/>
    <n v="462"/>
    <n v="38"/>
  </r>
  <r>
    <s v="STU0457"/>
    <x v="0"/>
    <n v="15"/>
    <x v="309"/>
    <n v="88"/>
    <x v="4"/>
    <x v="0"/>
    <x v="0"/>
    <s v="Good"/>
    <n v="95"/>
    <n v="55.98"/>
    <n v="20"/>
    <n v="462"/>
    <n v="38"/>
  </r>
  <r>
    <s v="STU0458"/>
    <x v="1"/>
    <n v="15"/>
    <x v="228"/>
    <n v="76"/>
    <x v="29"/>
    <x v="0"/>
    <x v="3"/>
    <s v="Excellent"/>
    <n v="95"/>
    <n v="55.98"/>
    <n v="20"/>
    <n v="462"/>
    <n v="38"/>
  </r>
  <r>
    <s v="STU0459"/>
    <x v="1"/>
    <n v="15"/>
    <x v="310"/>
    <n v="75"/>
    <x v="19"/>
    <x v="0"/>
    <x v="2"/>
    <s v="Average"/>
    <n v="95"/>
    <n v="55.98"/>
    <n v="20"/>
    <n v="462"/>
    <n v="38"/>
  </r>
  <r>
    <s v="STU0460"/>
    <x v="1"/>
    <n v="19"/>
    <x v="311"/>
    <n v="93"/>
    <x v="28"/>
    <x v="0"/>
    <x v="2"/>
    <s v="Average"/>
    <n v="95"/>
    <n v="55.98"/>
    <n v="20"/>
    <n v="462"/>
    <n v="38"/>
  </r>
  <r>
    <s v="STU0461"/>
    <x v="1"/>
    <n v="15"/>
    <x v="150"/>
    <n v="57"/>
    <x v="2"/>
    <x v="0"/>
    <x v="1"/>
    <s v="Average"/>
    <n v="95"/>
    <n v="55.98"/>
    <n v="20"/>
    <n v="462"/>
    <n v="38"/>
  </r>
  <r>
    <s v="STU0462"/>
    <x v="0"/>
    <n v="17"/>
    <x v="312"/>
    <n v="88"/>
    <x v="31"/>
    <x v="0"/>
    <x v="2"/>
    <s v="Average"/>
    <n v="95"/>
    <n v="55.98"/>
    <n v="20"/>
    <n v="462"/>
    <n v="38"/>
  </r>
  <r>
    <s v="STU0463"/>
    <x v="0"/>
    <n v="18"/>
    <x v="134"/>
    <n v="95"/>
    <x v="19"/>
    <x v="0"/>
    <x v="2"/>
    <s v="Average"/>
    <n v="95"/>
    <n v="55.98"/>
    <n v="20"/>
    <n v="462"/>
    <n v="38"/>
  </r>
  <r>
    <s v="STU0464"/>
    <x v="0"/>
    <n v="19"/>
    <x v="313"/>
    <n v="71"/>
    <x v="48"/>
    <x v="0"/>
    <x v="2"/>
    <s v="Average"/>
    <n v="95"/>
    <n v="55.98"/>
    <n v="20"/>
    <n v="462"/>
    <n v="38"/>
  </r>
  <r>
    <s v="STU0465"/>
    <x v="1"/>
    <n v="18"/>
    <x v="130"/>
    <n v="73"/>
    <x v="34"/>
    <x v="0"/>
    <x v="0"/>
    <s v="Good"/>
    <n v="95"/>
    <n v="55.98"/>
    <n v="20"/>
    <n v="462"/>
    <n v="38"/>
  </r>
  <r>
    <s v="STU0466"/>
    <x v="1"/>
    <n v="16"/>
    <x v="23"/>
    <n v="57"/>
    <x v="49"/>
    <x v="1"/>
    <x v="1"/>
    <s v="Poor"/>
    <n v="95"/>
    <n v="55.98"/>
    <n v="20"/>
    <n v="462"/>
    <n v="38"/>
  </r>
  <r>
    <s v="STU0467"/>
    <x v="0"/>
    <n v="19"/>
    <x v="168"/>
    <n v="94"/>
    <x v="38"/>
    <x v="0"/>
    <x v="0"/>
    <s v="Good"/>
    <n v="95"/>
    <n v="55.98"/>
    <n v="20"/>
    <n v="462"/>
    <n v="38"/>
  </r>
  <r>
    <s v="STU0468"/>
    <x v="1"/>
    <n v="15"/>
    <x v="133"/>
    <n v="84"/>
    <x v="69"/>
    <x v="0"/>
    <x v="3"/>
    <s v="Excellent"/>
    <n v="95"/>
    <n v="55.98"/>
    <n v="20"/>
    <n v="462"/>
    <n v="38"/>
  </r>
  <r>
    <s v="STU0469"/>
    <x v="0"/>
    <n v="19"/>
    <x v="314"/>
    <n v="55"/>
    <x v="61"/>
    <x v="1"/>
    <x v="1"/>
    <s v="Poor"/>
    <n v="95"/>
    <n v="55.98"/>
    <n v="20"/>
    <n v="462"/>
    <n v="38"/>
  </r>
  <r>
    <s v="STU0470"/>
    <x v="0"/>
    <n v="17"/>
    <x v="53"/>
    <n v="34"/>
    <x v="7"/>
    <x v="0"/>
    <x v="2"/>
    <s v="Average"/>
    <n v="95"/>
    <n v="55.98"/>
    <n v="20"/>
    <n v="462"/>
    <n v="38"/>
  </r>
  <r>
    <s v="STU0471"/>
    <x v="1"/>
    <n v="15"/>
    <x v="315"/>
    <n v="60"/>
    <x v="17"/>
    <x v="0"/>
    <x v="0"/>
    <s v="Good"/>
    <n v="95"/>
    <n v="55.98"/>
    <n v="20"/>
    <n v="462"/>
    <n v="38"/>
  </r>
  <r>
    <s v="STU0472"/>
    <x v="1"/>
    <n v="15"/>
    <x v="60"/>
    <n v="62"/>
    <x v="44"/>
    <x v="0"/>
    <x v="1"/>
    <s v="Average"/>
    <n v="95"/>
    <n v="55.98"/>
    <n v="20"/>
    <n v="462"/>
    <n v="38"/>
  </r>
  <r>
    <s v="STU0473"/>
    <x v="1"/>
    <n v="16"/>
    <x v="5"/>
    <n v="67"/>
    <x v="3"/>
    <x v="0"/>
    <x v="0"/>
    <s v="Good"/>
    <n v="95"/>
    <n v="55.98"/>
    <n v="20"/>
    <n v="462"/>
    <n v="38"/>
  </r>
  <r>
    <s v="STU0474"/>
    <x v="0"/>
    <n v="15"/>
    <x v="316"/>
    <n v="35"/>
    <x v="8"/>
    <x v="0"/>
    <x v="1"/>
    <s v="Average"/>
    <n v="95"/>
    <n v="55.98"/>
    <n v="20"/>
    <n v="462"/>
    <n v="38"/>
  </r>
  <r>
    <s v="STU0475"/>
    <x v="1"/>
    <n v="19"/>
    <x v="317"/>
    <n v="72"/>
    <x v="44"/>
    <x v="0"/>
    <x v="1"/>
    <s v="Average"/>
    <n v="95"/>
    <n v="55.98"/>
    <n v="20"/>
    <n v="462"/>
    <n v="38"/>
  </r>
  <r>
    <s v="STU0476"/>
    <x v="0"/>
    <n v="15"/>
    <x v="318"/>
    <n v="92"/>
    <x v="36"/>
    <x v="0"/>
    <x v="0"/>
    <s v="Good"/>
    <n v="95"/>
    <n v="55.98"/>
    <n v="20"/>
    <n v="462"/>
    <n v="38"/>
  </r>
  <r>
    <s v="STU0477"/>
    <x v="1"/>
    <n v="15"/>
    <x v="145"/>
    <n v="38"/>
    <x v="68"/>
    <x v="0"/>
    <x v="3"/>
    <s v="Excellent"/>
    <n v="95"/>
    <n v="55.98"/>
    <n v="20"/>
    <n v="462"/>
    <n v="38"/>
  </r>
  <r>
    <s v="STU0478"/>
    <x v="0"/>
    <n v="18"/>
    <x v="319"/>
    <n v="57"/>
    <x v="34"/>
    <x v="0"/>
    <x v="0"/>
    <s v="Good"/>
    <n v="95"/>
    <n v="55.98"/>
    <n v="20"/>
    <n v="462"/>
    <n v="38"/>
  </r>
  <r>
    <s v="STU0479"/>
    <x v="1"/>
    <n v="17"/>
    <x v="295"/>
    <n v="44"/>
    <x v="19"/>
    <x v="0"/>
    <x v="2"/>
    <s v="Average"/>
    <n v="95"/>
    <n v="55.98"/>
    <n v="20"/>
    <n v="462"/>
    <n v="38"/>
  </r>
  <r>
    <s v="STU0480"/>
    <x v="1"/>
    <n v="18"/>
    <x v="320"/>
    <n v="71"/>
    <x v="19"/>
    <x v="0"/>
    <x v="2"/>
    <s v="Average"/>
    <n v="95"/>
    <n v="55.98"/>
    <n v="20"/>
    <n v="462"/>
    <n v="38"/>
  </r>
  <r>
    <s v="STU0481"/>
    <x v="0"/>
    <n v="18"/>
    <x v="321"/>
    <n v="95"/>
    <x v="0"/>
    <x v="0"/>
    <x v="0"/>
    <s v="Good"/>
    <n v="95"/>
    <n v="55.98"/>
    <n v="20"/>
    <n v="462"/>
    <n v="38"/>
  </r>
  <r>
    <s v="STU0482"/>
    <x v="1"/>
    <n v="18"/>
    <x v="28"/>
    <n v="42"/>
    <x v="53"/>
    <x v="1"/>
    <x v="1"/>
    <s v="Poor"/>
    <n v="95"/>
    <n v="55.98"/>
    <n v="20"/>
    <n v="462"/>
    <n v="38"/>
  </r>
  <r>
    <s v="STU0483"/>
    <x v="0"/>
    <n v="15"/>
    <x v="31"/>
    <n v="56"/>
    <x v="46"/>
    <x v="0"/>
    <x v="2"/>
    <s v="Average"/>
    <n v="95"/>
    <n v="55.98"/>
    <n v="20"/>
    <n v="462"/>
    <n v="38"/>
  </r>
  <r>
    <s v="STU0484"/>
    <x v="1"/>
    <n v="15"/>
    <x v="128"/>
    <n v="34"/>
    <x v="7"/>
    <x v="0"/>
    <x v="2"/>
    <s v="Average"/>
    <n v="95"/>
    <n v="55.98"/>
    <n v="20"/>
    <n v="462"/>
    <n v="38"/>
  </r>
  <r>
    <s v="STU0485"/>
    <x v="0"/>
    <n v="15"/>
    <x v="184"/>
    <n v="63"/>
    <x v="18"/>
    <x v="0"/>
    <x v="1"/>
    <s v="Average"/>
    <n v="95"/>
    <n v="55.98"/>
    <n v="20"/>
    <n v="462"/>
    <n v="38"/>
  </r>
  <r>
    <s v="STU0486"/>
    <x v="1"/>
    <n v="18"/>
    <x v="322"/>
    <n v="45"/>
    <x v="15"/>
    <x v="0"/>
    <x v="0"/>
    <s v="Good"/>
    <n v="95"/>
    <n v="55.98"/>
    <n v="20"/>
    <n v="462"/>
    <n v="38"/>
  </r>
  <r>
    <s v="STU0487"/>
    <x v="0"/>
    <n v="19"/>
    <x v="236"/>
    <n v="75"/>
    <x v="18"/>
    <x v="0"/>
    <x v="1"/>
    <s v="Average"/>
    <n v="95"/>
    <n v="55.98"/>
    <n v="20"/>
    <n v="462"/>
    <n v="38"/>
  </r>
  <r>
    <s v="STU0488"/>
    <x v="0"/>
    <n v="17"/>
    <x v="128"/>
    <n v="86"/>
    <x v="14"/>
    <x v="0"/>
    <x v="0"/>
    <s v="Good"/>
    <n v="95"/>
    <n v="55.98"/>
    <n v="20"/>
    <n v="462"/>
    <n v="38"/>
  </r>
  <r>
    <s v="STU0489"/>
    <x v="1"/>
    <n v="15"/>
    <x v="323"/>
    <n v="67"/>
    <x v="32"/>
    <x v="0"/>
    <x v="0"/>
    <s v="Good"/>
    <n v="95"/>
    <n v="55.98"/>
    <n v="20"/>
    <n v="462"/>
    <n v="38"/>
  </r>
  <r>
    <s v="STU0490"/>
    <x v="0"/>
    <n v="17"/>
    <x v="52"/>
    <n v="45"/>
    <x v="31"/>
    <x v="0"/>
    <x v="2"/>
    <s v="Average"/>
    <n v="95"/>
    <n v="55.98"/>
    <n v="20"/>
    <n v="462"/>
    <n v="38"/>
  </r>
  <r>
    <s v="STU0491"/>
    <x v="0"/>
    <n v="19"/>
    <x v="324"/>
    <n v="56"/>
    <x v="37"/>
    <x v="0"/>
    <x v="0"/>
    <s v="Good"/>
    <n v="95"/>
    <n v="55.98"/>
    <n v="20"/>
    <n v="462"/>
    <n v="38"/>
  </r>
  <r>
    <s v="STU0492"/>
    <x v="1"/>
    <n v="16"/>
    <x v="153"/>
    <n v="53"/>
    <x v="19"/>
    <x v="0"/>
    <x v="2"/>
    <s v="Average"/>
    <n v="95"/>
    <n v="55.98"/>
    <n v="20"/>
    <n v="462"/>
    <n v="38"/>
  </r>
  <r>
    <s v="STU0493"/>
    <x v="1"/>
    <n v="16"/>
    <x v="325"/>
    <n v="39"/>
    <x v="27"/>
    <x v="1"/>
    <x v="1"/>
    <s v="Poor"/>
    <n v="95"/>
    <n v="55.98"/>
    <n v="20"/>
    <n v="462"/>
    <n v="38"/>
  </r>
  <r>
    <s v="STU0494"/>
    <x v="0"/>
    <n v="17"/>
    <x v="233"/>
    <n v="75"/>
    <x v="52"/>
    <x v="1"/>
    <x v="1"/>
    <s v="Poor"/>
    <n v="95"/>
    <n v="55.98"/>
    <n v="20"/>
    <n v="462"/>
    <n v="38"/>
  </r>
  <r>
    <s v="STU0495"/>
    <x v="0"/>
    <n v="15"/>
    <x v="115"/>
    <n v="87"/>
    <x v="19"/>
    <x v="0"/>
    <x v="2"/>
    <s v="Average"/>
    <n v="95"/>
    <n v="55.98"/>
    <n v="20"/>
    <n v="462"/>
    <n v="38"/>
  </r>
  <r>
    <s v="STU0496"/>
    <x v="1"/>
    <n v="19"/>
    <x v="110"/>
    <n v="51"/>
    <x v="27"/>
    <x v="1"/>
    <x v="1"/>
    <s v="Poor"/>
    <n v="95"/>
    <n v="55.98"/>
    <n v="20"/>
    <n v="462"/>
    <n v="38"/>
  </r>
  <r>
    <s v="STU0497"/>
    <x v="1"/>
    <n v="16"/>
    <x v="228"/>
    <n v="47"/>
    <x v="41"/>
    <x v="0"/>
    <x v="0"/>
    <s v="Good"/>
    <n v="95"/>
    <n v="55.98"/>
    <n v="20"/>
    <n v="462"/>
    <n v="38"/>
  </r>
  <r>
    <s v="STU0498"/>
    <x v="1"/>
    <n v="18"/>
    <x v="202"/>
    <n v="52"/>
    <x v="32"/>
    <x v="0"/>
    <x v="0"/>
    <s v="Good"/>
    <n v="95"/>
    <n v="55.98"/>
    <n v="20"/>
    <n v="462"/>
    <n v="38"/>
  </r>
  <r>
    <s v="STU0499"/>
    <x v="0"/>
    <n v="17"/>
    <x v="86"/>
    <n v="39"/>
    <x v="69"/>
    <x v="0"/>
    <x v="3"/>
    <s v="Excellent"/>
    <n v="95"/>
    <n v="55.98"/>
    <n v="20"/>
    <n v="462"/>
    <n v="38"/>
  </r>
  <r>
    <s v="STU0500"/>
    <x v="0"/>
    <n v="15"/>
    <x v="97"/>
    <n v="34"/>
    <x v="41"/>
    <x v="0"/>
    <x v="0"/>
    <s v="Good"/>
    <n v="95"/>
    <n v="55.98"/>
    <n v="20"/>
    <n v="462"/>
    <n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1272E2-E6B1-43A5-A97B-D2F81B8DD8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showAll="0"/>
    <pivotField axis="axisRow" showAll="0">
      <items count="3">
        <item x="1"/>
        <item h="1" x="0"/>
        <item t="default"/>
      </items>
    </pivotField>
    <pivotField showAll="0"/>
    <pivotField showAll="0"/>
    <pivotField showAll="0"/>
    <pivotField dataField="1" showAll="0">
      <items count="71">
        <item h="1" x="57"/>
        <item h="1" x="65"/>
        <item h="1" x="53"/>
        <item h="1" x="30"/>
        <item h="1" x="21"/>
        <item h="1" x="61"/>
        <item h="1" x="27"/>
        <item h="1" x="1"/>
        <item h="1" x="52"/>
        <item h="1" x="64"/>
        <item h="1" x="26"/>
        <item h="1" x="49"/>
        <item h="1" x="56"/>
        <item h="1" x="39"/>
        <item h="1" x="62"/>
        <item h="1" x="58"/>
        <item h="1" x="5"/>
        <item h="1" x="10"/>
        <item h="1" x="50"/>
        <item h="1" x="43"/>
        <item h="1" x="24"/>
        <item h="1" x="6"/>
        <item h="1" x="23"/>
        <item h="1" x="8"/>
        <item h="1" x="44"/>
        <item h="1" x="16"/>
        <item h="1" x="54"/>
        <item h="1" x="18"/>
        <item h="1" x="2"/>
        <item h="1" x="46"/>
        <item h="1" x="48"/>
        <item h="1" x="40"/>
        <item h="1" x="19"/>
        <item h="1" x="47"/>
        <item h="1" x="28"/>
        <item h="1" x="7"/>
        <item h="1" x="31"/>
        <item h="1" x="42"/>
        <item h="1" x="33"/>
        <item h="1" x="45"/>
        <item h="1" x="32"/>
        <item h="1" x="25"/>
        <item h="1" x="51"/>
        <item h="1" x="11"/>
        <item h="1" x="15"/>
        <item h="1" x="36"/>
        <item h="1" x="0"/>
        <item h="1" x="34"/>
        <item h="1" x="9"/>
        <item h="1" x="3"/>
        <item h="1" x="37"/>
        <item h="1" x="17"/>
        <item h="1" x="55"/>
        <item h="1" x="41"/>
        <item h="1" x="20"/>
        <item h="1" x="38"/>
        <item h="1" x="4"/>
        <item h="1" x="22"/>
        <item h="1" x="14"/>
        <item h="1" x="35"/>
        <item x="59"/>
        <item h="1" x="29"/>
        <item h="1" x="68"/>
        <item h="1" x="12"/>
        <item h="1" x="63"/>
        <item h="1" x="69"/>
        <item h="1" x="13"/>
        <item h="1" x="60"/>
        <item h="1" x="67"/>
        <item h="1" x="66"/>
        <item t="default"/>
      </items>
    </pivotField>
    <pivotField showAll="0"/>
    <pivotField showAll="0">
      <items count="6">
        <item h="1" x="4"/>
        <item x="3"/>
        <item h="1" x="0"/>
        <item h="1" x="2"/>
        <item h="1" x="1"/>
        <item t="default"/>
      </items>
    </pivotField>
    <pivotField showAll="0"/>
    <pivotField showAll="0"/>
    <pivotField showAll="0"/>
    <pivotField showAll="0"/>
    <pivotField showAll="0"/>
    <pivotField showAll="0"/>
  </pivotFields>
  <rowFields count="1">
    <field x="1"/>
  </rowFields>
  <rowItems count="2">
    <i>
      <x/>
    </i>
    <i t="grand">
      <x/>
    </i>
  </rowItems>
  <colItems count="1">
    <i/>
  </colItems>
  <dataFields count="1">
    <dataField name="Average of final_score" fld="5" subtotal="average" baseField="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D815A-79E0-4ADB-B1E1-CC7943F01C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dataField="1" showAll="0"/>
    <pivotField showAll="0">
      <items count="3">
        <item x="1"/>
        <item h="1" x="0"/>
        <item t="default"/>
      </items>
    </pivotField>
    <pivotField showAll="0"/>
    <pivotField showAll="0">
      <items count="327">
        <item x="37"/>
        <item x="94"/>
        <item x="123"/>
        <item x="43"/>
        <item x="314"/>
        <item x="306"/>
        <item x="288"/>
        <item x="42"/>
        <item x="175"/>
        <item x="180"/>
        <item x="135"/>
        <item x="212"/>
        <item x="266"/>
        <item x="256"/>
        <item x="81"/>
        <item x="46"/>
        <item x="177"/>
        <item x="84"/>
        <item x="50"/>
        <item x="104"/>
        <item x="244"/>
        <item x="1"/>
        <item x="243"/>
        <item x="179"/>
        <item x="35"/>
        <item x="38"/>
        <item x="301"/>
        <item x="82"/>
        <item x="30"/>
        <item x="248"/>
        <item x="255"/>
        <item x="149"/>
        <item x="317"/>
        <item x="33"/>
        <item x="219"/>
        <item x="165"/>
        <item x="10"/>
        <item x="96"/>
        <item x="141"/>
        <item x="271"/>
        <item x="156"/>
        <item x="280"/>
        <item x="172"/>
        <item x="323"/>
        <item x="181"/>
        <item x="174"/>
        <item x="221"/>
        <item x="41"/>
        <item x="325"/>
        <item x="209"/>
        <item x="166"/>
        <item x="111"/>
        <item x="24"/>
        <item x="78"/>
        <item x="173"/>
        <item x="233"/>
        <item x="51"/>
        <item x="160"/>
        <item x="196"/>
        <item x="57"/>
        <item x="269"/>
        <item x="228"/>
        <item x="216"/>
        <item x="20"/>
        <item x="260"/>
        <item x="99"/>
        <item x="191"/>
        <item x="109"/>
        <item x="106"/>
        <item x="157"/>
        <item x="254"/>
        <item x="264"/>
        <item x="53"/>
        <item x="161"/>
        <item x="267"/>
        <item x="261"/>
        <item x="307"/>
        <item x="13"/>
        <item x="218"/>
        <item x="217"/>
        <item x="56"/>
        <item x="0"/>
        <item x="222"/>
        <item x="183"/>
        <item x="168"/>
        <item x="278"/>
        <item x="295"/>
        <item x="28"/>
        <item x="297"/>
        <item x="83"/>
        <item x="154"/>
        <item x="283"/>
        <item x="242"/>
        <item x="105"/>
        <item x="292"/>
        <item x="21"/>
        <item x="120"/>
        <item x="3"/>
        <item x="146"/>
        <item x="98"/>
        <item x="229"/>
        <item x="133"/>
        <item x="296"/>
        <item x="39"/>
        <item x="182"/>
        <item x="204"/>
        <item x="311"/>
        <item x="27"/>
        <item x="62"/>
        <item x="246"/>
        <item x="12"/>
        <item x="147"/>
        <item x="60"/>
        <item x="59"/>
        <item x="324"/>
        <item x="47"/>
        <item x="322"/>
        <item x="263"/>
        <item x="116"/>
        <item x="23"/>
        <item x="158"/>
        <item x="151"/>
        <item x="58"/>
        <item x="220"/>
        <item x="275"/>
        <item x="142"/>
        <item x="119"/>
        <item x="202"/>
        <item x="124"/>
        <item x="225"/>
        <item x="143"/>
        <item x="6"/>
        <item x="287"/>
        <item x="125"/>
        <item x="4"/>
        <item x="259"/>
        <item x="291"/>
        <item x="87"/>
        <item x="80"/>
        <item x="22"/>
        <item x="65"/>
        <item x="285"/>
        <item x="273"/>
        <item x="131"/>
        <item x="17"/>
        <item x="73"/>
        <item x="299"/>
        <item x="11"/>
        <item x="303"/>
        <item x="92"/>
        <item x="224"/>
        <item x="69"/>
        <item x="97"/>
        <item x="44"/>
        <item x="197"/>
        <item x="74"/>
        <item x="19"/>
        <item x="245"/>
        <item x="203"/>
        <item x="251"/>
        <item x="134"/>
        <item x="29"/>
        <item x="188"/>
        <item x="319"/>
        <item x="321"/>
        <item x="34"/>
        <item x="195"/>
        <item x="231"/>
        <item x="258"/>
        <item x="40"/>
        <item x="207"/>
        <item x="61"/>
        <item x="110"/>
        <item x="48"/>
        <item x="277"/>
        <item x="186"/>
        <item x="45"/>
        <item x="239"/>
        <item x="284"/>
        <item x="139"/>
        <item x="85"/>
        <item x="88"/>
        <item x="163"/>
        <item x="309"/>
        <item x="178"/>
        <item x="66"/>
        <item x="150"/>
        <item x="227"/>
        <item x="215"/>
        <item x="268"/>
        <item x="210"/>
        <item x="115"/>
        <item x="176"/>
        <item x="298"/>
        <item x="7"/>
        <item x="108"/>
        <item x="232"/>
        <item x="198"/>
        <item x="249"/>
        <item x="250"/>
        <item x="64"/>
        <item x="49"/>
        <item x="122"/>
        <item x="76"/>
        <item x="107"/>
        <item x="192"/>
        <item x="31"/>
        <item x="114"/>
        <item x="190"/>
        <item x="185"/>
        <item x="67"/>
        <item x="171"/>
        <item x="252"/>
        <item x="8"/>
        <item x="128"/>
        <item x="36"/>
        <item x="234"/>
        <item x="302"/>
        <item x="127"/>
        <item x="5"/>
        <item x="145"/>
        <item x="230"/>
        <item x="75"/>
        <item x="294"/>
        <item x="103"/>
        <item x="247"/>
        <item x="118"/>
        <item x="200"/>
        <item x="313"/>
        <item x="159"/>
        <item x="300"/>
        <item x="129"/>
        <item x="77"/>
        <item x="308"/>
        <item x="193"/>
        <item x="240"/>
        <item x="55"/>
        <item x="194"/>
        <item x="236"/>
        <item x="312"/>
        <item x="310"/>
        <item x="15"/>
        <item x="170"/>
        <item x="68"/>
        <item x="121"/>
        <item x="206"/>
        <item x="140"/>
        <item x="102"/>
        <item x="226"/>
        <item x="100"/>
        <item x="184"/>
        <item x="162"/>
        <item x="113"/>
        <item x="132"/>
        <item x="2"/>
        <item x="305"/>
        <item x="54"/>
        <item x="208"/>
        <item x="201"/>
        <item x="86"/>
        <item x="187"/>
        <item x="155"/>
        <item x="136"/>
        <item x="304"/>
        <item x="289"/>
        <item x="281"/>
        <item x="235"/>
        <item x="101"/>
        <item x="26"/>
        <item x="214"/>
        <item x="286"/>
        <item x="265"/>
        <item x="293"/>
        <item x="257"/>
        <item x="137"/>
        <item x="290"/>
        <item x="238"/>
        <item x="315"/>
        <item x="112"/>
        <item x="18"/>
        <item x="25"/>
        <item x="14"/>
        <item x="93"/>
        <item x="72"/>
        <item x="52"/>
        <item x="117"/>
        <item x="70"/>
        <item x="279"/>
        <item x="167"/>
        <item x="282"/>
        <item x="320"/>
        <item x="153"/>
        <item x="126"/>
        <item x="9"/>
        <item x="130"/>
        <item x="211"/>
        <item x="71"/>
        <item x="253"/>
        <item x="213"/>
        <item x="276"/>
        <item x="318"/>
        <item x="32"/>
        <item x="95"/>
        <item x="152"/>
        <item x="189"/>
        <item x="205"/>
        <item x="274"/>
        <item x="262"/>
        <item x="89"/>
        <item x="63"/>
        <item x="223"/>
        <item x="144"/>
        <item x="316"/>
        <item x="199"/>
        <item x="138"/>
        <item x="148"/>
        <item x="241"/>
        <item x="79"/>
        <item x="272"/>
        <item x="169"/>
        <item x="16"/>
        <item x="91"/>
        <item x="270"/>
        <item x="90"/>
        <item x="164"/>
        <item x="237"/>
        <item t="default"/>
      </items>
    </pivotField>
    <pivotField showAll="0"/>
    <pivotField showAll="0">
      <items count="71">
        <item h="1" x="57"/>
        <item h="1" x="65"/>
        <item h="1" x="53"/>
        <item h="1" x="30"/>
        <item h="1" x="21"/>
        <item h="1" x="61"/>
        <item h="1" x="27"/>
        <item h="1" x="1"/>
        <item h="1" x="52"/>
        <item h="1" x="64"/>
        <item h="1" x="26"/>
        <item h="1" x="49"/>
        <item h="1" x="56"/>
        <item h="1" x="39"/>
        <item h="1" x="62"/>
        <item h="1" x="58"/>
        <item h="1" x="5"/>
        <item h="1" x="10"/>
        <item h="1" x="50"/>
        <item h="1" x="43"/>
        <item h="1" x="24"/>
        <item h="1" x="6"/>
        <item h="1" x="23"/>
        <item h="1" x="8"/>
        <item h="1" x="44"/>
        <item h="1" x="16"/>
        <item h="1" x="54"/>
        <item h="1" x="18"/>
        <item h="1" x="2"/>
        <item h="1" x="46"/>
        <item h="1" x="48"/>
        <item h="1" x="40"/>
        <item h="1" x="19"/>
        <item h="1" x="47"/>
        <item h="1" x="28"/>
        <item h="1" x="7"/>
        <item h="1" x="31"/>
        <item h="1" x="42"/>
        <item h="1" x="33"/>
        <item h="1" x="45"/>
        <item h="1" x="32"/>
        <item h="1" x="25"/>
        <item h="1" x="51"/>
        <item h="1" x="11"/>
        <item h="1" x="15"/>
        <item h="1" x="36"/>
        <item h="1" x="0"/>
        <item h="1" x="34"/>
        <item h="1" x="9"/>
        <item h="1" x="3"/>
        <item h="1" x="37"/>
        <item h="1" x="17"/>
        <item h="1" x="55"/>
        <item h="1" x="41"/>
        <item h="1" x="20"/>
        <item h="1" x="38"/>
        <item h="1" x="4"/>
        <item h="1" x="22"/>
        <item h="1" x="14"/>
        <item h="1" x="35"/>
        <item x="59"/>
        <item h="1" x="29"/>
        <item h="1" x="68"/>
        <item h="1" x="12"/>
        <item h="1" x="63"/>
        <item h="1" x="69"/>
        <item h="1" x="13"/>
        <item h="1" x="60"/>
        <item h="1" x="67"/>
        <item h="1" x="66"/>
        <item t="default"/>
      </items>
    </pivotField>
    <pivotField showAll="0"/>
    <pivotField axis="axisRow" showAll="0">
      <items count="6">
        <item h="1" x="4"/>
        <item x="3"/>
        <item h="1" x="0"/>
        <item h="1" x="2"/>
        <item h="1" x="1"/>
        <item t="default"/>
      </items>
    </pivotField>
    <pivotField showAll="0"/>
    <pivotField showAll="0"/>
    <pivotField showAll="0"/>
    <pivotField showAll="0"/>
    <pivotField showAll="0"/>
    <pivotField showAll="0"/>
  </pivotFields>
  <rowFields count="1">
    <field x="7"/>
  </rowFields>
  <rowItems count="2">
    <i>
      <x v="1"/>
    </i>
    <i t="grand">
      <x/>
    </i>
  </rowItems>
  <colItems count="1">
    <i/>
  </colItems>
  <dataFields count="1">
    <dataField name="Count of student_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3" format="11">
      <pivotArea type="data" outline="0" fieldPosition="0">
        <references count="2">
          <reference field="4294967294" count="1" selected="0">
            <x v="0"/>
          </reference>
          <reference field="7" count="1" selected="0">
            <x v="3"/>
          </reference>
        </references>
      </pivotArea>
    </chartFormat>
    <chartFormat chart="3"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97BA56-52A2-42FF-90EE-0902D9BEE5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4">
    <pivotField showAll="0"/>
    <pivotField showAll="0">
      <items count="3">
        <item x="1"/>
        <item h="1" x="0"/>
        <item t="default"/>
      </items>
    </pivotField>
    <pivotField showAll="0"/>
    <pivotField axis="axisRow" showAll="0">
      <items count="327">
        <item x="37"/>
        <item x="94"/>
        <item x="123"/>
        <item x="43"/>
        <item x="314"/>
        <item x="306"/>
        <item x="288"/>
        <item x="42"/>
        <item x="175"/>
        <item x="180"/>
        <item x="135"/>
        <item x="212"/>
        <item x="266"/>
        <item x="256"/>
        <item x="81"/>
        <item x="46"/>
        <item x="177"/>
        <item x="84"/>
        <item x="50"/>
        <item x="104"/>
        <item x="244"/>
        <item x="1"/>
        <item x="243"/>
        <item x="179"/>
        <item x="35"/>
        <item x="38"/>
        <item x="301"/>
        <item x="82"/>
        <item x="30"/>
        <item x="248"/>
        <item x="255"/>
        <item x="149"/>
        <item x="317"/>
        <item x="33"/>
        <item x="219"/>
        <item x="165"/>
        <item x="10"/>
        <item x="96"/>
        <item x="141"/>
        <item x="271"/>
        <item x="156"/>
        <item x="280"/>
        <item x="172"/>
        <item x="323"/>
        <item x="181"/>
        <item x="174"/>
        <item x="221"/>
        <item x="41"/>
        <item x="325"/>
        <item x="209"/>
        <item x="166"/>
        <item x="111"/>
        <item x="24"/>
        <item x="78"/>
        <item x="173"/>
        <item x="233"/>
        <item x="51"/>
        <item x="160"/>
        <item x="196"/>
        <item x="57"/>
        <item x="269"/>
        <item x="228"/>
        <item x="216"/>
        <item x="20"/>
        <item x="260"/>
        <item x="99"/>
        <item x="191"/>
        <item x="109"/>
        <item x="106"/>
        <item x="157"/>
        <item x="254"/>
        <item x="264"/>
        <item x="53"/>
        <item x="161"/>
        <item x="267"/>
        <item x="261"/>
        <item x="307"/>
        <item x="13"/>
        <item x="218"/>
        <item x="217"/>
        <item x="56"/>
        <item x="0"/>
        <item x="222"/>
        <item x="183"/>
        <item x="168"/>
        <item x="278"/>
        <item x="295"/>
        <item x="28"/>
        <item x="297"/>
        <item x="83"/>
        <item x="154"/>
        <item x="283"/>
        <item x="242"/>
        <item x="105"/>
        <item x="292"/>
        <item x="21"/>
        <item x="120"/>
        <item x="3"/>
        <item x="146"/>
        <item x="98"/>
        <item x="229"/>
        <item x="133"/>
        <item x="296"/>
        <item x="39"/>
        <item x="182"/>
        <item x="204"/>
        <item x="311"/>
        <item x="27"/>
        <item x="62"/>
        <item x="246"/>
        <item x="12"/>
        <item x="147"/>
        <item x="60"/>
        <item x="59"/>
        <item x="324"/>
        <item x="47"/>
        <item x="322"/>
        <item x="263"/>
        <item x="116"/>
        <item x="23"/>
        <item x="158"/>
        <item x="151"/>
        <item x="58"/>
        <item x="220"/>
        <item x="275"/>
        <item x="142"/>
        <item x="119"/>
        <item x="202"/>
        <item x="124"/>
        <item x="225"/>
        <item x="143"/>
        <item x="6"/>
        <item x="287"/>
        <item x="125"/>
        <item x="4"/>
        <item x="259"/>
        <item x="291"/>
        <item x="87"/>
        <item x="80"/>
        <item x="22"/>
        <item x="65"/>
        <item x="285"/>
        <item x="273"/>
        <item x="131"/>
        <item x="17"/>
        <item x="73"/>
        <item x="299"/>
        <item x="11"/>
        <item x="303"/>
        <item x="92"/>
        <item x="224"/>
        <item x="69"/>
        <item x="97"/>
        <item x="44"/>
        <item x="197"/>
        <item x="74"/>
        <item x="19"/>
        <item x="245"/>
        <item x="203"/>
        <item x="251"/>
        <item x="134"/>
        <item x="29"/>
        <item x="188"/>
        <item x="319"/>
        <item x="321"/>
        <item x="34"/>
        <item x="195"/>
        <item x="231"/>
        <item x="258"/>
        <item x="40"/>
        <item x="207"/>
        <item x="61"/>
        <item x="110"/>
        <item x="48"/>
        <item x="277"/>
        <item x="186"/>
        <item x="45"/>
        <item x="239"/>
        <item x="284"/>
        <item x="139"/>
        <item x="85"/>
        <item x="88"/>
        <item x="163"/>
        <item x="309"/>
        <item x="178"/>
        <item x="66"/>
        <item x="150"/>
        <item x="227"/>
        <item x="215"/>
        <item x="268"/>
        <item x="210"/>
        <item x="115"/>
        <item x="176"/>
        <item x="298"/>
        <item x="7"/>
        <item x="108"/>
        <item x="232"/>
        <item x="198"/>
        <item x="249"/>
        <item x="250"/>
        <item x="64"/>
        <item x="49"/>
        <item x="122"/>
        <item x="76"/>
        <item x="107"/>
        <item x="192"/>
        <item x="31"/>
        <item x="114"/>
        <item x="190"/>
        <item x="185"/>
        <item x="67"/>
        <item x="171"/>
        <item x="252"/>
        <item x="8"/>
        <item x="128"/>
        <item x="36"/>
        <item x="234"/>
        <item x="302"/>
        <item x="127"/>
        <item x="5"/>
        <item x="145"/>
        <item x="230"/>
        <item x="75"/>
        <item x="294"/>
        <item x="103"/>
        <item x="247"/>
        <item x="118"/>
        <item x="200"/>
        <item x="313"/>
        <item x="159"/>
        <item x="300"/>
        <item x="129"/>
        <item x="77"/>
        <item x="308"/>
        <item x="193"/>
        <item x="240"/>
        <item x="55"/>
        <item x="194"/>
        <item x="236"/>
        <item x="312"/>
        <item x="310"/>
        <item x="15"/>
        <item x="170"/>
        <item x="68"/>
        <item x="121"/>
        <item x="206"/>
        <item x="140"/>
        <item x="102"/>
        <item x="226"/>
        <item x="100"/>
        <item x="184"/>
        <item x="162"/>
        <item x="113"/>
        <item x="132"/>
        <item x="2"/>
        <item x="305"/>
        <item x="54"/>
        <item x="208"/>
        <item x="201"/>
        <item x="86"/>
        <item x="187"/>
        <item x="155"/>
        <item x="136"/>
        <item x="304"/>
        <item x="289"/>
        <item x="281"/>
        <item x="235"/>
        <item x="101"/>
        <item x="26"/>
        <item x="214"/>
        <item x="286"/>
        <item x="265"/>
        <item x="293"/>
        <item x="257"/>
        <item x="137"/>
        <item x="290"/>
        <item x="238"/>
        <item x="315"/>
        <item x="112"/>
        <item x="18"/>
        <item x="25"/>
        <item x="14"/>
        <item x="93"/>
        <item x="72"/>
        <item x="52"/>
        <item x="117"/>
        <item x="70"/>
        <item x="279"/>
        <item x="167"/>
        <item x="282"/>
        <item x="320"/>
        <item x="153"/>
        <item x="126"/>
        <item x="9"/>
        <item x="130"/>
        <item x="211"/>
        <item x="71"/>
        <item x="253"/>
        <item x="213"/>
        <item x="276"/>
        <item x="318"/>
        <item x="32"/>
        <item x="95"/>
        <item x="152"/>
        <item x="189"/>
        <item x="205"/>
        <item x="274"/>
        <item x="262"/>
        <item x="89"/>
        <item x="63"/>
        <item x="223"/>
        <item x="144"/>
        <item x="316"/>
        <item x="199"/>
        <item x="138"/>
        <item x="148"/>
        <item x="241"/>
        <item x="79"/>
        <item x="272"/>
        <item x="169"/>
        <item x="16"/>
        <item x="91"/>
        <item x="270"/>
        <item x="90"/>
        <item x="164"/>
        <item x="237"/>
        <item t="default"/>
      </items>
    </pivotField>
    <pivotField showAll="0"/>
    <pivotField dataField="1" showAll="0">
      <items count="71">
        <item h="1" x="57"/>
        <item h="1" x="65"/>
        <item h="1" x="53"/>
        <item h="1" x="30"/>
        <item h="1" x="21"/>
        <item h="1" x="61"/>
        <item h="1" x="27"/>
        <item h="1" x="1"/>
        <item h="1" x="52"/>
        <item h="1" x="64"/>
        <item h="1" x="26"/>
        <item h="1" x="49"/>
        <item h="1" x="56"/>
        <item h="1" x="39"/>
        <item h="1" x="62"/>
        <item h="1" x="58"/>
        <item h="1" x="5"/>
        <item h="1" x="10"/>
        <item h="1" x="50"/>
        <item h="1" x="43"/>
        <item h="1" x="24"/>
        <item h="1" x="6"/>
        <item h="1" x="23"/>
        <item h="1" x="8"/>
        <item h="1" x="44"/>
        <item h="1" x="16"/>
        <item h="1" x="54"/>
        <item h="1" x="18"/>
        <item h="1" x="2"/>
        <item h="1" x="46"/>
        <item h="1" x="48"/>
        <item h="1" x="40"/>
        <item h="1" x="19"/>
        <item h="1" x="47"/>
        <item h="1" x="28"/>
        <item h="1" x="7"/>
        <item h="1" x="31"/>
        <item h="1" x="42"/>
        <item h="1" x="33"/>
        <item h="1" x="45"/>
        <item h="1" x="32"/>
        <item h="1" x="25"/>
        <item h="1" x="51"/>
        <item h="1" x="11"/>
        <item h="1" x="15"/>
        <item h="1" x="36"/>
        <item h="1" x="0"/>
        <item h="1" x="34"/>
        <item h="1" x="9"/>
        <item h="1" x="3"/>
        <item h="1" x="37"/>
        <item h="1" x="17"/>
        <item h="1" x="55"/>
        <item h="1" x="41"/>
        <item h="1" x="20"/>
        <item h="1" x="38"/>
        <item h="1" x="4"/>
        <item h="1" x="22"/>
        <item h="1" x="14"/>
        <item x="35"/>
        <item h="1" x="59"/>
        <item h="1" x="29"/>
        <item h="1" x="68"/>
        <item h="1" x="12"/>
        <item h="1" x="63"/>
        <item h="1" x="69"/>
        <item h="1" x="13"/>
        <item h="1" x="60"/>
        <item h="1" x="67"/>
        <item h="1" x="66"/>
        <item t="default"/>
      </items>
    </pivotField>
    <pivotField showAll="0"/>
    <pivotField showAll="0">
      <items count="6">
        <item h="1" x="4"/>
        <item x="3"/>
        <item h="1" x="0"/>
        <item h="1" x="2"/>
        <item h="1" x="1"/>
        <item t="default"/>
      </items>
    </pivotField>
    <pivotField showAll="0"/>
    <pivotField showAll="0"/>
    <pivotField showAll="0"/>
    <pivotField showAll="0"/>
    <pivotField showAll="0"/>
    <pivotField showAll="0"/>
  </pivotFields>
  <rowFields count="1">
    <field x="3"/>
  </rowFields>
  <rowItems count="4">
    <i>
      <x v="56"/>
    </i>
    <i>
      <x v="120"/>
    </i>
    <i>
      <x v="180"/>
    </i>
    <i t="grand">
      <x/>
    </i>
  </rowItems>
  <colItems count="1">
    <i/>
  </colItems>
  <dataFields count="1">
    <dataField name="Sum of final_score"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BE86D65E-FB72-4AF5-AF2B-C13D4290131F}" sourceName="Grade">
  <pivotTables>
    <pivotTable tabId="4" name="PivotTable2"/>
    <pivotTable tabId="3" name="PivotTable1"/>
    <pivotTable tabId="6" name="PivotTable3"/>
  </pivotTables>
  <data>
    <tabular pivotCacheId="801152831">
      <items count="5">
        <i x="3" s="1"/>
        <i x="4" nd="1"/>
        <i x="0" nd="1"/>
        <i x="2"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0722A2-CB3A-410B-93F6-BCF9FEBBC46A}" sourceName="gender">
  <pivotTables>
    <pivotTable tabId="3" name="PivotTable1"/>
    <pivotTable tabId="6" name="PivotTable3"/>
    <pivotTable tabId="4" name="PivotTable2"/>
  </pivotTables>
  <data>
    <tabular pivotCacheId="801152831">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rate" xr10:uid="{A299D46F-304D-47BE-97B8-B55C7C05CB61}" sourceName="attendance_rate">
  <pivotTables>
    <pivotTable tabId="6" name="PivotTable3"/>
  </pivotTables>
  <data>
    <tabular pivotCacheId="801152831">
      <items count="326">
        <i x="169" s="1"/>
        <i x="37" s="1" nd="1"/>
        <i x="94" s="1" nd="1"/>
        <i x="123" s="1" nd="1"/>
        <i x="43" s="1" nd="1"/>
        <i x="314" s="1" nd="1"/>
        <i x="306" s="1" nd="1"/>
        <i x="288" s="1" nd="1"/>
        <i x="42" s="1" nd="1"/>
        <i x="175" s="1" nd="1"/>
        <i x="180" s="1" nd="1"/>
        <i x="135" s="1" nd="1"/>
        <i x="212" s="1" nd="1"/>
        <i x="266" s="1" nd="1"/>
        <i x="256" s="1" nd="1"/>
        <i x="81" s="1" nd="1"/>
        <i x="46" s="1" nd="1"/>
        <i x="177" s="1" nd="1"/>
        <i x="84" s="1" nd="1"/>
        <i x="50" s="1" nd="1"/>
        <i x="104" s="1" nd="1"/>
        <i x="244" s="1" nd="1"/>
        <i x="1" s="1" nd="1"/>
        <i x="243" s="1" nd="1"/>
        <i x="179" s="1" nd="1"/>
        <i x="35" s="1" nd="1"/>
        <i x="38" s="1" nd="1"/>
        <i x="301" s="1" nd="1"/>
        <i x="82" s="1" nd="1"/>
        <i x="30" s="1" nd="1"/>
        <i x="248" s="1" nd="1"/>
        <i x="255" s="1" nd="1"/>
        <i x="149" s="1" nd="1"/>
        <i x="317" s="1" nd="1"/>
        <i x="33" s="1" nd="1"/>
        <i x="219" s="1" nd="1"/>
        <i x="165" s="1" nd="1"/>
        <i x="10" s="1" nd="1"/>
        <i x="96" s="1" nd="1"/>
        <i x="141" s="1" nd="1"/>
        <i x="271" s="1" nd="1"/>
        <i x="156" s="1" nd="1"/>
        <i x="280" s="1" nd="1"/>
        <i x="172" s="1" nd="1"/>
        <i x="323" s="1" nd="1"/>
        <i x="181" s="1" nd="1"/>
        <i x="174" s="1" nd="1"/>
        <i x="221" s="1" nd="1"/>
        <i x="41" s="1" nd="1"/>
        <i x="325" s="1" nd="1"/>
        <i x="209" s="1" nd="1"/>
        <i x="166" s="1" nd="1"/>
        <i x="111" s="1" nd="1"/>
        <i x="24" s="1" nd="1"/>
        <i x="78" s="1" nd="1"/>
        <i x="173" s="1" nd="1"/>
        <i x="233" s="1" nd="1"/>
        <i x="51" s="1" nd="1"/>
        <i x="160" s="1" nd="1"/>
        <i x="196" s="1" nd="1"/>
        <i x="57" s="1" nd="1"/>
        <i x="269" s="1" nd="1"/>
        <i x="228" s="1" nd="1"/>
        <i x="216" s="1" nd="1"/>
        <i x="20" s="1" nd="1"/>
        <i x="260" s="1" nd="1"/>
        <i x="99" s="1" nd="1"/>
        <i x="191" s="1" nd="1"/>
        <i x="109" s="1" nd="1"/>
        <i x="106" s="1" nd="1"/>
        <i x="157" s="1" nd="1"/>
        <i x="254" s="1" nd="1"/>
        <i x="264" s="1" nd="1"/>
        <i x="53" s="1" nd="1"/>
        <i x="161" s="1" nd="1"/>
        <i x="267" s="1" nd="1"/>
        <i x="261" s="1" nd="1"/>
        <i x="307" s="1" nd="1"/>
        <i x="13" s="1" nd="1"/>
        <i x="218" s="1" nd="1"/>
        <i x="217" s="1" nd="1"/>
        <i x="56" s="1" nd="1"/>
        <i x="0" s="1" nd="1"/>
        <i x="222" s="1" nd="1"/>
        <i x="183" s="1" nd="1"/>
        <i x="168" s="1" nd="1"/>
        <i x="278" s="1" nd="1"/>
        <i x="295" s="1" nd="1"/>
        <i x="28" s="1" nd="1"/>
        <i x="297" s="1" nd="1"/>
        <i x="83" s="1" nd="1"/>
        <i x="154" s="1" nd="1"/>
        <i x="283" s="1" nd="1"/>
        <i x="242" s="1" nd="1"/>
        <i x="105" s="1" nd="1"/>
        <i x="292" s="1" nd="1"/>
        <i x="21" s="1" nd="1"/>
        <i x="120" s="1" nd="1"/>
        <i x="3" s="1" nd="1"/>
        <i x="146" s="1" nd="1"/>
        <i x="98" s="1" nd="1"/>
        <i x="229" s="1" nd="1"/>
        <i x="133" s="1" nd="1"/>
        <i x="296" s="1" nd="1"/>
        <i x="39" s="1" nd="1"/>
        <i x="182" s="1" nd="1"/>
        <i x="204" s="1" nd="1"/>
        <i x="311" s="1" nd="1"/>
        <i x="27" s="1" nd="1"/>
        <i x="62" s="1" nd="1"/>
        <i x="246" s="1" nd="1"/>
        <i x="12" s="1" nd="1"/>
        <i x="147" s="1" nd="1"/>
        <i x="60" s="1" nd="1"/>
        <i x="59" s="1" nd="1"/>
        <i x="324" s="1" nd="1"/>
        <i x="47" s="1" nd="1"/>
        <i x="322" s="1" nd="1"/>
        <i x="263" s="1" nd="1"/>
        <i x="116" s="1" nd="1"/>
        <i x="23" s="1" nd="1"/>
        <i x="158" s="1" nd="1"/>
        <i x="151" s="1" nd="1"/>
        <i x="58" s="1" nd="1"/>
        <i x="220" s="1" nd="1"/>
        <i x="275" s="1" nd="1"/>
        <i x="142" s="1" nd="1"/>
        <i x="119" s="1" nd="1"/>
        <i x="202" s="1" nd="1"/>
        <i x="124" s="1" nd="1"/>
        <i x="225" s="1" nd="1"/>
        <i x="143" s="1" nd="1"/>
        <i x="6" s="1" nd="1"/>
        <i x="287" s="1" nd="1"/>
        <i x="125" s="1" nd="1"/>
        <i x="4" s="1" nd="1"/>
        <i x="259" s="1" nd="1"/>
        <i x="291" s="1" nd="1"/>
        <i x="87" s="1" nd="1"/>
        <i x="80" s="1" nd="1"/>
        <i x="22" s="1" nd="1"/>
        <i x="65" s="1" nd="1"/>
        <i x="285" s="1" nd="1"/>
        <i x="273" s="1" nd="1"/>
        <i x="131" s="1" nd="1"/>
        <i x="17" s="1" nd="1"/>
        <i x="73" s="1" nd="1"/>
        <i x="299" s="1" nd="1"/>
        <i x="11" s="1" nd="1"/>
        <i x="303" s="1" nd="1"/>
        <i x="92" s="1" nd="1"/>
        <i x="224" s="1" nd="1"/>
        <i x="69" s="1" nd="1"/>
        <i x="97" s="1" nd="1"/>
        <i x="44" s="1" nd="1"/>
        <i x="197" s="1" nd="1"/>
        <i x="74" s="1" nd="1"/>
        <i x="19" s="1" nd="1"/>
        <i x="245" s="1" nd="1"/>
        <i x="203" s="1" nd="1"/>
        <i x="251" s="1" nd="1"/>
        <i x="134" s="1" nd="1"/>
        <i x="29" s="1" nd="1"/>
        <i x="188" s="1" nd="1"/>
        <i x="319" s="1" nd="1"/>
        <i x="321" s="1" nd="1"/>
        <i x="34" s="1" nd="1"/>
        <i x="195" s="1" nd="1"/>
        <i x="231" s="1" nd="1"/>
        <i x="258" s="1" nd="1"/>
        <i x="40" s="1" nd="1"/>
        <i x="207" s="1" nd="1"/>
        <i x="61" s="1" nd="1"/>
        <i x="110" s="1" nd="1"/>
        <i x="48" s="1" nd="1"/>
        <i x="277" s="1" nd="1"/>
        <i x="186" s="1" nd="1"/>
        <i x="45" s="1" nd="1"/>
        <i x="239" s="1" nd="1"/>
        <i x="284" s="1" nd="1"/>
        <i x="139" s="1" nd="1"/>
        <i x="85" s="1" nd="1"/>
        <i x="88" s="1" nd="1"/>
        <i x="163" s="1" nd="1"/>
        <i x="309" s="1" nd="1"/>
        <i x="178" s="1" nd="1"/>
        <i x="66" s="1" nd="1"/>
        <i x="150" s="1" nd="1"/>
        <i x="227" s="1" nd="1"/>
        <i x="215" s="1" nd="1"/>
        <i x="268" s="1" nd="1"/>
        <i x="210" s="1" nd="1"/>
        <i x="115" s="1" nd="1"/>
        <i x="176" s="1" nd="1"/>
        <i x="298" s="1" nd="1"/>
        <i x="7" s="1" nd="1"/>
        <i x="108" s="1" nd="1"/>
        <i x="232" s="1" nd="1"/>
        <i x="198" s="1" nd="1"/>
        <i x="249" s="1" nd="1"/>
        <i x="250" s="1" nd="1"/>
        <i x="64" s="1" nd="1"/>
        <i x="49" s="1" nd="1"/>
        <i x="122" s="1" nd="1"/>
        <i x="76" s="1" nd="1"/>
        <i x="107" s="1" nd="1"/>
        <i x="192" s="1" nd="1"/>
        <i x="31" s="1" nd="1"/>
        <i x="114" s="1" nd="1"/>
        <i x="190" s="1" nd="1"/>
        <i x="185" s="1" nd="1"/>
        <i x="67" s="1" nd="1"/>
        <i x="171" s="1" nd="1"/>
        <i x="252" s="1" nd="1"/>
        <i x="8" s="1" nd="1"/>
        <i x="128" s="1" nd="1"/>
        <i x="36" s="1" nd="1"/>
        <i x="234" s="1" nd="1"/>
        <i x="302" s="1" nd="1"/>
        <i x="127" s="1" nd="1"/>
        <i x="5" s="1" nd="1"/>
        <i x="145" s="1" nd="1"/>
        <i x="230" s="1" nd="1"/>
        <i x="75" s="1" nd="1"/>
        <i x="294" s="1" nd="1"/>
        <i x="103" s="1" nd="1"/>
        <i x="247" s="1" nd="1"/>
        <i x="118" s="1" nd="1"/>
        <i x="200" s="1" nd="1"/>
        <i x="313" s="1" nd="1"/>
        <i x="159" s="1" nd="1"/>
        <i x="300" s="1" nd="1"/>
        <i x="129" s="1" nd="1"/>
        <i x="77" s="1" nd="1"/>
        <i x="308" s="1" nd="1"/>
        <i x="193" s="1" nd="1"/>
        <i x="240" s="1" nd="1"/>
        <i x="55" s="1" nd="1"/>
        <i x="194" s="1" nd="1"/>
        <i x="236" s="1" nd="1"/>
        <i x="312" s="1" nd="1"/>
        <i x="310" s="1" nd="1"/>
        <i x="15" s="1" nd="1"/>
        <i x="170" s="1" nd="1"/>
        <i x="68" s="1" nd="1"/>
        <i x="121" s="1" nd="1"/>
        <i x="206" s="1" nd="1"/>
        <i x="140" s="1" nd="1"/>
        <i x="102" s="1" nd="1"/>
        <i x="226" s="1" nd="1"/>
        <i x="100" s="1" nd="1"/>
        <i x="184" s="1" nd="1"/>
        <i x="162" s="1" nd="1"/>
        <i x="113" s="1" nd="1"/>
        <i x="132" s="1" nd="1"/>
        <i x="2" s="1" nd="1"/>
        <i x="305" s="1" nd="1"/>
        <i x="54" s="1" nd="1"/>
        <i x="208" s="1" nd="1"/>
        <i x="201" s="1" nd="1"/>
        <i x="86" s="1" nd="1"/>
        <i x="187" s="1" nd="1"/>
        <i x="155" s="1" nd="1"/>
        <i x="136" s="1" nd="1"/>
        <i x="304" s="1" nd="1"/>
        <i x="289" s="1" nd="1"/>
        <i x="281" s="1" nd="1"/>
        <i x="235" s="1" nd="1"/>
        <i x="101" s="1" nd="1"/>
        <i x="26" s="1" nd="1"/>
        <i x="214" s="1" nd="1"/>
        <i x="286" s="1" nd="1"/>
        <i x="265" s="1" nd="1"/>
        <i x="293" s="1" nd="1"/>
        <i x="257" s="1" nd="1"/>
        <i x="137" s="1" nd="1"/>
        <i x="290" s="1" nd="1"/>
        <i x="238" s="1" nd="1"/>
        <i x="315" s="1" nd="1"/>
        <i x="112" s="1" nd="1"/>
        <i x="18" s="1" nd="1"/>
        <i x="25" s="1" nd="1"/>
        <i x="14" s="1" nd="1"/>
        <i x="93" s="1" nd="1"/>
        <i x="72" s="1" nd="1"/>
        <i x="52" s="1" nd="1"/>
        <i x="117" s="1" nd="1"/>
        <i x="70" s="1" nd="1"/>
        <i x="279" s="1" nd="1"/>
        <i x="167" s="1" nd="1"/>
        <i x="282" s="1" nd="1"/>
        <i x="320" s="1" nd="1"/>
        <i x="153" s="1" nd="1"/>
        <i x="126" s="1" nd="1"/>
        <i x="9" s="1" nd="1"/>
        <i x="130" s="1" nd="1"/>
        <i x="211" s="1" nd="1"/>
        <i x="71" s="1" nd="1"/>
        <i x="253" s="1" nd="1"/>
        <i x="213" s="1" nd="1"/>
        <i x="276" s="1" nd="1"/>
        <i x="318" s="1" nd="1"/>
        <i x="32" s="1" nd="1"/>
        <i x="95" s="1" nd="1"/>
        <i x="152" s="1" nd="1"/>
        <i x="189" s="1" nd="1"/>
        <i x="205" s="1" nd="1"/>
        <i x="274" s="1" nd="1"/>
        <i x="262" s="1" nd="1"/>
        <i x="89" s="1" nd="1"/>
        <i x="63" s="1" nd="1"/>
        <i x="223" s="1" nd="1"/>
        <i x="144" s="1" nd="1"/>
        <i x="316" s="1" nd="1"/>
        <i x="199" s="1" nd="1"/>
        <i x="138" s="1" nd="1"/>
        <i x="148" s="1" nd="1"/>
        <i x="241" s="1" nd="1"/>
        <i x="79" s="1" nd="1"/>
        <i x="272" s="1" nd="1"/>
        <i x="16" s="1" nd="1"/>
        <i x="91" s="1" nd="1"/>
        <i x="270" s="1" nd="1"/>
        <i x="90" s="1" nd="1"/>
        <i x="164" s="1" nd="1"/>
        <i x="23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score" xr10:uid="{0037934F-A74E-44C5-B492-2E6B3D0E849B}" sourceName="final_score">
  <pivotTables>
    <pivotTable tabId="6" name="PivotTable3"/>
    <pivotTable tabId="3" name="PivotTable1"/>
    <pivotTable tabId="4" name="PivotTable2"/>
  </pivotTables>
  <data>
    <tabular pivotCacheId="801152831">
      <items count="70">
        <i x="35" s="1"/>
        <i x="59"/>
        <i x="29"/>
        <i x="68"/>
        <i x="12"/>
        <i x="63"/>
        <i x="69"/>
        <i x="57" nd="1"/>
        <i x="65" nd="1"/>
        <i x="53" nd="1"/>
        <i x="30" nd="1"/>
        <i x="21" nd="1"/>
        <i x="61" nd="1"/>
        <i x="27" nd="1"/>
        <i x="1" nd="1"/>
        <i x="52" nd="1"/>
        <i x="64" nd="1"/>
        <i x="26" nd="1"/>
        <i x="49" nd="1"/>
        <i x="56" nd="1"/>
        <i x="39" nd="1"/>
        <i x="62" nd="1"/>
        <i x="58" nd="1"/>
        <i x="5" nd="1"/>
        <i x="10" nd="1"/>
        <i x="50" nd="1"/>
        <i x="43" nd="1"/>
        <i x="24" nd="1"/>
        <i x="6" nd="1"/>
        <i x="23" nd="1"/>
        <i x="8" nd="1"/>
        <i x="44" nd="1"/>
        <i x="16" nd="1"/>
        <i x="54" nd="1"/>
        <i x="18" nd="1"/>
        <i x="2" nd="1"/>
        <i x="46" nd="1"/>
        <i x="48" nd="1"/>
        <i x="40" nd="1"/>
        <i x="19" nd="1"/>
        <i x="47" nd="1"/>
        <i x="28" nd="1"/>
        <i x="7" nd="1"/>
        <i x="31" nd="1"/>
        <i x="42" nd="1"/>
        <i x="33" nd="1"/>
        <i x="45" nd="1"/>
        <i x="32" nd="1"/>
        <i x="25" nd="1"/>
        <i x="51" nd="1"/>
        <i x="11" nd="1"/>
        <i x="15" nd="1"/>
        <i x="36" nd="1"/>
        <i x="0" nd="1"/>
        <i x="34" nd="1"/>
        <i x="9" nd="1"/>
        <i x="3" nd="1"/>
        <i x="37" nd="1"/>
        <i x="17" nd="1"/>
        <i x="55" nd="1"/>
        <i x="41" nd="1"/>
        <i x="20" nd="1"/>
        <i x="38" nd="1"/>
        <i x="4" nd="1"/>
        <i x="22" nd="1"/>
        <i x="14" nd="1"/>
        <i x="13" nd="1"/>
        <i x="60" nd="1"/>
        <i x="67" nd="1"/>
        <i x="6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3FD87A5-950C-448A-B8F2-1FC6A68D4579}"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428E303B-EAA2-40F0-B69C-A50A910E638E}" cache="Slicer_Grade" caption="Grad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1" xr10:uid="{03EB23D1-551B-4520-B7C0-FF5B2E02AC53}" cache="Slicer_Grade" caption="Grade" rowHeight="234950"/>
  <slicer name="gender 1" xr10:uid="{A481E95F-AE05-4806-B8D0-C8B8870ACD21}" cache="Slicer_gender" caption="gender" rowHeight="234950"/>
  <slicer name="attendance_rate 1" xr10:uid="{20960572-936F-4162-B124-82D665F76C01}" cache="Slicer_attendance_rate" caption="attendance_rate" rowHeight="234950"/>
  <slicer name="final_score 1" xr10:uid="{45A9CC9D-60D6-4392-AF37-50B51C6BEBFC}" cache="Slicer_final_score" caption="final_scor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endance_rate" xr10:uid="{9D327566-DDEB-4325-890F-5F016D3F8AB9}" cache="Slicer_attendance_rate" caption="attendance_rate" rowHeight="234950"/>
  <slicer name="final_score" xr10:uid="{8427CB7B-0D7D-4622-B68E-6CD36F2CC994}" cache="Slicer_final_score" caption="final_scor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CCA36C-B776-494C-89FE-73D7CF913E0C}" name="Table1" displayName="Table1" ref="A1:N501" totalsRowShown="0">
  <autoFilter ref="A1:N501" xr:uid="{97CCA36C-B776-494C-89FE-73D7CF913E0C}"/>
  <tableColumns count="14">
    <tableColumn id="1" xr3:uid="{F50080C2-E1C2-42FB-8066-E5ACE5238994}" name="student_id"/>
    <tableColumn id="2" xr3:uid="{73A4054C-03A4-4A10-A1D4-12DC41536330}" name="gender"/>
    <tableColumn id="3" xr3:uid="{74D39B79-FD7B-4C30-AF30-A059A312298E}" name="age"/>
    <tableColumn id="4" xr3:uid="{B2DE2666-2550-4A19-B43F-BEFAC7177644}" name="attendance_rate"/>
    <tableColumn id="5" xr3:uid="{C2898146-53E3-465A-B9D9-8648DC259AA9}" name="previous_score"/>
    <tableColumn id="6" xr3:uid="{84CFE354-142B-42F2-B022-DDDE74E75F50}" name="final_score"/>
    <tableColumn id="7" xr3:uid="{D88E3611-C4D4-4DA8-96D8-AF24CFF9CFBD}" name="result" dataDxfId="7">
      <calculatedColumnFormula>IF(F2&gt;33,"PASS","FAIL")</calculatedColumnFormula>
    </tableColumn>
    <tableColumn id="8" xr3:uid="{C028CEF1-7868-49A8-9BAC-3C78BD14C0E7}" name="Grade" dataDxfId="6">
      <calculatedColumnFormula>IF(F2&gt;90,"A",IF(F2&gt;=80,"B",IF(F2&gt;=60,"C",IF(F2&gt;=50,"D","E"))))</calculatedColumnFormula>
    </tableColumn>
    <tableColumn id="9" xr3:uid="{438EC388-3FD0-4D0C-AE82-016EFA780C4D}" name="Performance" dataDxfId="5">
      <calculatedColumnFormula>IF(F2&gt;=80,"Excellent",IF(F2&gt;=60,"Good",IF(F2&gt;=40,"Average","Poor")))</calculatedColumnFormula>
    </tableColumn>
    <tableColumn id="10" xr3:uid="{1BA55C14-1D51-4A30-A77B-E42AFDA8C1A5}" name="highest score" dataDxfId="4">
      <calculatedColumnFormula>MAX(F:F)</calculatedColumnFormula>
    </tableColumn>
    <tableColumn id="11" xr3:uid="{6A868A52-0473-40A4-B40F-A82596EEC58A}" name="average score" dataDxfId="3">
      <calculatedColumnFormula>AVERAGE(F:F)</calculatedColumnFormula>
    </tableColumn>
    <tableColumn id="12" xr3:uid="{15D1F62D-5139-4ECD-B946-94B2778B86D9}" name="lowest score" dataDxfId="2">
      <calculatedColumnFormula>MIN(F:F)</calculatedColumnFormula>
    </tableColumn>
    <tableColumn id="13" xr3:uid="{FA8C85A7-FFD7-4AEB-8756-3AF0BD2249B8}" name="total pass" dataDxfId="1">
      <calculatedColumnFormula>COUNTIF(G:G,"pass")</calculatedColumnFormula>
    </tableColumn>
    <tableColumn id="14" xr3:uid="{3C7B52EB-CA34-41BD-A7A0-596C32490E3F}" name="total fail" dataDxfId="0">
      <calculatedColumnFormula>COUNTIF(G:G,"fail")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2FF35-E0FA-4DF7-AB2B-71EF700F38D1}">
  <dimension ref="A3:B5"/>
  <sheetViews>
    <sheetView topLeftCell="A4" workbookViewId="0">
      <selection activeCell="A6" sqref="A6"/>
    </sheetView>
  </sheetViews>
  <sheetFormatPr defaultRowHeight="14.4"/>
  <cols>
    <col min="1" max="1" width="12.5546875" bestFit="1" customWidth="1"/>
    <col min="2" max="2" width="19.88671875" bestFit="1" customWidth="1"/>
  </cols>
  <sheetData>
    <row r="3" spans="1:2">
      <c r="A3" s="2" t="s">
        <v>516</v>
      </c>
      <c r="B3" t="s">
        <v>519</v>
      </c>
    </row>
    <row r="4" spans="1:2">
      <c r="A4" s="3" t="s">
        <v>9</v>
      </c>
      <c r="B4">
        <v>81</v>
      </c>
    </row>
    <row r="5" spans="1:2">
      <c r="A5" s="3" t="s">
        <v>517</v>
      </c>
      <c r="B5">
        <v>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3DC8-3B91-4A70-8770-F4E29F2CAEB3}">
  <dimension ref="A3:B5"/>
  <sheetViews>
    <sheetView topLeftCell="E1" workbookViewId="0">
      <selection activeCell="A3" sqref="A3"/>
    </sheetView>
  </sheetViews>
  <sheetFormatPr defaultRowHeight="14.4"/>
  <cols>
    <col min="1" max="1" width="12.5546875" bestFit="1" customWidth="1"/>
    <col min="2" max="2" width="18" bestFit="1" customWidth="1"/>
  </cols>
  <sheetData>
    <row r="3" spans="1:2">
      <c r="A3" s="2" t="s">
        <v>516</v>
      </c>
      <c r="B3" t="s">
        <v>520</v>
      </c>
    </row>
    <row r="4" spans="1:2">
      <c r="A4" s="3" t="s">
        <v>521</v>
      </c>
      <c r="B4">
        <v>1</v>
      </c>
    </row>
    <row r="5" spans="1:2">
      <c r="A5" s="3" t="s">
        <v>517</v>
      </c>
      <c r="B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000AC-7FBC-4396-B23A-E33C66A4441F}">
  <dimension ref="A1:J5"/>
  <sheetViews>
    <sheetView showGridLines="0" tabSelected="1" workbookViewId="0">
      <selection activeCell="T26" sqref="T26"/>
    </sheetView>
  </sheetViews>
  <sheetFormatPr defaultRowHeight="14.4"/>
  <cols>
    <col min="2" max="2" width="8.88671875" customWidth="1"/>
  </cols>
  <sheetData>
    <row r="1" spans="1:10">
      <c r="A1" s="22" t="s">
        <v>522</v>
      </c>
      <c r="B1" s="23"/>
      <c r="C1" s="23"/>
      <c r="D1" s="23"/>
      <c r="E1" s="23"/>
      <c r="F1" s="23"/>
      <c r="G1" s="23"/>
      <c r="H1" s="23"/>
      <c r="I1" s="9"/>
      <c r="J1" s="10"/>
    </row>
    <row r="2" spans="1:10">
      <c r="A2" s="24"/>
      <c r="B2" s="25"/>
      <c r="C2" s="25"/>
      <c r="D2" s="25"/>
      <c r="E2" s="25"/>
      <c r="F2" s="25"/>
      <c r="G2" s="25"/>
      <c r="H2" s="25"/>
      <c r="J2" s="11"/>
    </row>
    <row r="3" spans="1:10">
      <c r="A3" s="12"/>
      <c r="J3" s="11"/>
    </row>
    <row r="4" spans="1:10">
      <c r="A4" s="13" t="s">
        <v>523</v>
      </c>
      <c r="B4" s="4"/>
      <c r="C4" s="5" t="s">
        <v>527</v>
      </c>
      <c r="D4" s="5"/>
      <c r="E4" s="6" t="s">
        <v>524</v>
      </c>
      <c r="F4" s="6"/>
      <c r="G4" s="7" t="s">
        <v>525</v>
      </c>
      <c r="H4" s="7"/>
      <c r="I4" s="8" t="s">
        <v>526</v>
      </c>
      <c r="J4" s="14"/>
    </row>
    <row r="5" spans="1:10">
      <c r="A5" s="15">
        <f>COUNTA('Raw data'!A:A)-1</f>
        <v>500</v>
      </c>
      <c r="B5" s="16"/>
      <c r="C5" s="17">
        <f>AVERAGE('Raw data'!F:F)</f>
        <v>55.98</v>
      </c>
      <c r="D5" s="17"/>
      <c r="E5" s="18">
        <f>MAX('Raw data'!F:F)</f>
        <v>95</v>
      </c>
      <c r="F5" s="18"/>
      <c r="G5" s="19">
        <f>COUNTIF('Raw data'!G:G,"PASS")</f>
        <v>462</v>
      </c>
      <c r="H5" s="19"/>
      <c r="I5" s="20">
        <f>COUNTIF('Raw data'!G:G,"FAIL")</f>
        <v>38</v>
      </c>
      <c r="J5" s="21"/>
    </row>
  </sheetData>
  <mergeCells count="1">
    <mergeCell ref="A1: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81C60-B3E4-4BB9-BA61-5BF1871F6528}">
  <dimension ref="A3:B7"/>
  <sheetViews>
    <sheetView topLeftCell="D5" workbookViewId="0">
      <selection activeCell="G5" sqref="G5"/>
    </sheetView>
  </sheetViews>
  <sheetFormatPr defaultRowHeight="14.4"/>
  <cols>
    <col min="1" max="1" width="12.5546875" bestFit="1" customWidth="1"/>
    <col min="2" max="2" width="16.6640625" bestFit="1" customWidth="1"/>
  </cols>
  <sheetData>
    <row r="3" spans="1:2">
      <c r="A3" s="2" t="s">
        <v>516</v>
      </c>
      <c r="B3" t="s">
        <v>518</v>
      </c>
    </row>
    <row r="4" spans="1:2">
      <c r="A4" s="3">
        <v>60</v>
      </c>
      <c r="B4">
        <v>80</v>
      </c>
    </row>
    <row r="5" spans="1:2">
      <c r="A5" s="3">
        <v>70.8</v>
      </c>
      <c r="B5">
        <v>80</v>
      </c>
    </row>
    <row r="6" spans="1:2">
      <c r="A6" s="3">
        <v>79.7</v>
      </c>
      <c r="B6">
        <v>80</v>
      </c>
    </row>
    <row r="7" spans="1:2">
      <c r="A7" s="3" t="s">
        <v>517</v>
      </c>
      <c r="B7">
        <v>240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9E41D-86F9-445B-8D76-1AE267816AE9}">
  <dimension ref="A1:N501"/>
  <sheetViews>
    <sheetView topLeftCell="A2" workbookViewId="0">
      <selection activeCell="D20" sqref="D20"/>
    </sheetView>
  </sheetViews>
  <sheetFormatPr defaultRowHeight="14.4"/>
  <cols>
    <col min="1" max="1" width="12.21875" customWidth="1"/>
    <col min="4" max="4" width="16.77734375" customWidth="1"/>
    <col min="5" max="5" width="15.5546875" customWidth="1"/>
    <col min="6" max="6" width="12.88671875" customWidth="1"/>
    <col min="9" max="10" width="14.44140625" customWidth="1"/>
  </cols>
  <sheetData>
    <row r="1" spans="1:14">
      <c r="A1" t="s">
        <v>0</v>
      </c>
      <c r="B1" t="s">
        <v>1</v>
      </c>
      <c r="C1" t="s">
        <v>2</v>
      </c>
      <c r="D1" t="s">
        <v>3</v>
      </c>
      <c r="E1" t="s">
        <v>4</v>
      </c>
      <c r="F1" t="s">
        <v>5</v>
      </c>
      <c r="G1" t="s">
        <v>508</v>
      </c>
      <c r="H1" t="s">
        <v>509</v>
      </c>
      <c r="I1" t="s">
        <v>510</v>
      </c>
      <c r="J1" t="s">
        <v>511</v>
      </c>
      <c r="K1" t="s">
        <v>512</v>
      </c>
      <c r="L1" t="s">
        <v>513</v>
      </c>
      <c r="M1" t="s">
        <v>514</v>
      </c>
      <c r="N1" t="s">
        <v>515</v>
      </c>
    </row>
    <row r="2" spans="1:14">
      <c r="A2" t="s">
        <v>6</v>
      </c>
      <c r="B2" t="s">
        <v>7</v>
      </c>
      <c r="C2">
        <v>15</v>
      </c>
      <c r="D2">
        <v>63.8</v>
      </c>
      <c r="E2">
        <v>41</v>
      </c>
      <c r="F2">
        <v>67</v>
      </c>
      <c r="G2" t="str">
        <f t="shared" ref="G2:G65" si="0">IF(F2&gt;33,"PASS","FAIL")</f>
        <v>PASS</v>
      </c>
      <c r="H2" t="str">
        <f t="shared" ref="H2:H65" si="1">IF(F2&gt;90,"A",IF(F2&gt;=80,"B",IF(F2&gt;=60,"C",IF(F2&gt;=50,"D","E"))))</f>
        <v>C</v>
      </c>
      <c r="I2" t="str">
        <f t="shared" ref="I2:I65" si="2">IF(F2&gt;=80,"Excellent",IF(F2&gt;=60,"Good",IF(F2&gt;=40,"Average","Poor")))</f>
        <v>Good</v>
      </c>
      <c r="J2" s="1">
        <f t="shared" ref="J2:J65" si="3">MAX(F:F)</f>
        <v>95</v>
      </c>
      <c r="K2">
        <f t="shared" ref="K2:K65" si="4">AVERAGE(F:F)</f>
        <v>55.98</v>
      </c>
      <c r="L2">
        <f t="shared" ref="L2:L65" si="5">MIN(F:F)</f>
        <v>20</v>
      </c>
      <c r="M2">
        <f t="shared" ref="M2:M65" si="6">COUNTIF(G:G,"pass")</f>
        <v>462</v>
      </c>
      <c r="N2">
        <f t="shared" ref="N2:N65" si="7">COUNTIF(G:G,"fail")</f>
        <v>38</v>
      </c>
    </row>
    <row r="3" spans="1:14">
      <c r="A3" t="s">
        <v>8</v>
      </c>
      <c r="B3" t="s">
        <v>9</v>
      </c>
      <c r="C3">
        <v>15</v>
      </c>
      <c r="D3">
        <v>54.7</v>
      </c>
      <c r="E3">
        <v>83</v>
      </c>
      <c r="F3">
        <v>28</v>
      </c>
      <c r="G3" t="str">
        <f t="shared" si="0"/>
        <v>FAIL</v>
      </c>
      <c r="H3" t="str">
        <f t="shared" si="1"/>
        <v>E</v>
      </c>
      <c r="I3" t="str">
        <f t="shared" si="2"/>
        <v>Poor</v>
      </c>
      <c r="J3">
        <f t="shared" si="3"/>
        <v>95</v>
      </c>
      <c r="K3">
        <f t="shared" si="4"/>
        <v>55.98</v>
      </c>
      <c r="L3">
        <f t="shared" si="5"/>
        <v>20</v>
      </c>
      <c r="M3">
        <f t="shared" si="6"/>
        <v>462</v>
      </c>
      <c r="N3">
        <f t="shared" si="7"/>
        <v>38</v>
      </c>
    </row>
    <row r="4" spans="1:14">
      <c r="A4" t="s">
        <v>10</v>
      </c>
      <c r="B4" t="s">
        <v>9</v>
      </c>
      <c r="C4">
        <v>19</v>
      </c>
      <c r="D4">
        <v>90.5</v>
      </c>
      <c r="E4">
        <v>73</v>
      </c>
      <c r="F4">
        <v>49</v>
      </c>
      <c r="G4" t="str">
        <f t="shared" si="0"/>
        <v>PASS</v>
      </c>
      <c r="H4" t="str">
        <f t="shared" si="1"/>
        <v>E</v>
      </c>
      <c r="I4" t="str">
        <f t="shared" si="2"/>
        <v>Average</v>
      </c>
      <c r="J4">
        <f t="shared" si="3"/>
        <v>95</v>
      </c>
      <c r="K4">
        <f t="shared" si="4"/>
        <v>55.98</v>
      </c>
      <c r="L4">
        <f t="shared" si="5"/>
        <v>20</v>
      </c>
      <c r="M4">
        <f t="shared" si="6"/>
        <v>462</v>
      </c>
      <c r="N4">
        <f t="shared" si="7"/>
        <v>38</v>
      </c>
    </row>
    <row r="5" spans="1:14">
      <c r="A5" t="s">
        <v>11</v>
      </c>
      <c r="B5" t="s">
        <v>7</v>
      </c>
      <c r="C5">
        <v>16</v>
      </c>
      <c r="D5">
        <v>66.8</v>
      </c>
      <c r="E5">
        <v>75</v>
      </c>
      <c r="F5">
        <v>70</v>
      </c>
      <c r="G5" t="str">
        <f t="shared" si="0"/>
        <v>PASS</v>
      </c>
      <c r="H5" t="str">
        <f t="shared" si="1"/>
        <v>C</v>
      </c>
      <c r="I5" t="str">
        <f t="shared" si="2"/>
        <v>Good</v>
      </c>
      <c r="J5">
        <f t="shared" si="3"/>
        <v>95</v>
      </c>
      <c r="K5">
        <f t="shared" si="4"/>
        <v>55.98</v>
      </c>
      <c r="L5">
        <f t="shared" si="5"/>
        <v>20</v>
      </c>
      <c r="M5">
        <f t="shared" si="6"/>
        <v>462</v>
      </c>
      <c r="N5">
        <f t="shared" si="7"/>
        <v>38</v>
      </c>
    </row>
    <row r="6" spans="1:14">
      <c r="A6" t="s">
        <v>12</v>
      </c>
      <c r="B6" t="s">
        <v>9</v>
      </c>
      <c r="C6">
        <v>15</v>
      </c>
      <c r="D6">
        <v>73</v>
      </c>
      <c r="E6">
        <v>67</v>
      </c>
      <c r="F6">
        <v>77</v>
      </c>
      <c r="G6" t="str">
        <f t="shared" si="0"/>
        <v>PASS</v>
      </c>
      <c r="H6" t="str">
        <f t="shared" si="1"/>
        <v>C</v>
      </c>
      <c r="I6" t="str">
        <f t="shared" si="2"/>
        <v>Good</v>
      </c>
      <c r="J6">
        <f t="shared" si="3"/>
        <v>95</v>
      </c>
      <c r="K6">
        <f t="shared" si="4"/>
        <v>55.98</v>
      </c>
      <c r="L6">
        <f t="shared" si="5"/>
        <v>20</v>
      </c>
      <c r="M6">
        <f t="shared" si="6"/>
        <v>462</v>
      </c>
      <c r="N6">
        <f t="shared" si="7"/>
        <v>38</v>
      </c>
    </row>
    <row r="7" spans="1:14">
      <c r="A7" t="s">
        <v>13</v>
      </c>
      <c r="B7" t="s">
        <v>9</v>
      </c>
      <c r="C7">
        <v>19</v>
      </c>
      <c r="D7">
        <v>85.2</v>
      </c>
      <c r="E7">
        <v>40</v>
      </c>
      <c r="F7">
        <v>37</v>
      </c>
      <c r="G7" t="str">
        <f t="shared" si="0"/>
        <v>PASS</v>
      </c>
      <c r="H7" t="str">
        <f t="shared" si="1"/>
        <v>E</v>
      </c>
      <c r="I7" t="str">
        <f t="shared" si="2"/>
        <v>Poor</v>
      </c>
      <c r="J7">
        <f t="shared" si="3"/>
        <v>95</v>
      </c>
      <c r="K7">
        <f t="shared" si="4"/>
        <v>55.98</v>
      </c>
      <c r="L7">
        <f t="shared" si="5"/>
        <v>20</v>
      </c>
      <c r="M7">
        <f t="shared" si="6"/>
        <v>462</v>
      </c>
      <c r="N7">
        <f t="shared" si="7"/>
        <v>38</v>
      </c>
    </row>
    <row r="8" spans="1:14">
      <c r="A8" t="s">
        <v>14</v>
      </c>
      <c r="B8" t="s">
        <v>7</v>
      </c>
      <c r="C8">
        <v>18</v>
      </c>
      <c r="D8">
        <v>72.7</v>
      </c>
      <c r="E8">
        <v>75</v>
      </c>
      <c r="F8">
        <v>42</v>
      </c>
      <c r="G8" t="str">
        <f t="shared" si="0"/>
        <v>PASS</v>
      </c>
      <c r="H8" t="str">
        <f t="shared" si="1"/>
        <v>E</v>
      </c>
      <c r="I8" t="str">
        <f t="shared" si="2"/>
        <v>Average</v>
      </c>
      <c r="J8">
        <f t="shared" si="3"/>
        <v>95</v>
      </c>
      <c r="K8">
        <f t="shared" si="4"/>
        <v>55.98</v>
      </c>
      <c r="L8">
        <f t="shared" si="5"/>
        <v>20</v>
      </c>
      <c r="M8">
        <f t="shared" si="6"/>
        <v>462</v>
      </c>
      <c r="N8">
        <f t="shared" si="7"/>
        <v>38</v>
      </c>
    </row>
    <row r="9" spans="1:14">
      <c r="A9" t="s">
        <v>15</v>
      </c>
      <c r="B9" t="s">
        <v>9</v>
      </c>
      <c r="C9">
        <v>15</v>
      </c>
      <c r="D9">
        <v>81.7</v>
      </c>
      <c r="E9">
        <v>89</v>
      </c>
      <c r="F9">
        <v>70</v>
      </c>
      <c r="G9" t="str">
        <f t="shared" si="0"/>
        <v>PASS</v>
      </c>
      <c r="H9" t="str">
        <f t="shared" si="1"/>
        <v>C</v>
      </c>
      <c r="I9" t="str">
        <f t="shared" si="2"/>
        <v>Good</v>
      </c>
      <c r="J9">
        <f t="shared" si="3"/>
        <v>95</v>
      </c>
      <c r="K9">
        <f t="shared" si="4"/>
        <v>55.98</v>
      </c>
      <c r="L9">
        <f t="shared" si="5"/>
        <v>20</v>
      </c>
      <c r="M9">
        <f t="shared" si="6"/>
        <v>462</v>
      </c>
      <c r="N9">
        <f t="shared" si="7"/>
        <v>38</v>
      </c>
    </row>
    <row r="10" spans="1:14">
      <c r="A10" t="s">
        <v>16</v>
      </c>
      <c r="B10" t="s">
        <v>9</v>
      </c>
      <c r="C10">
        <v>19</v>
      </c>
      <c r="D10">
        <v>84.2</v>
      </c>
      <c r="E10">
        <v>70</v>
      </c>
      <c r="F10">
        <v>49</v>
      </c>
      <c r="G10" t="str">
        <f t="shared" si="0"/>
        <v>PASS</v>
      </c>
      <c r="H10" t="str">
        <f t="shared" si="1"/>
        <v>E</v>
      </c>
      <c r="I10" t="str">
        <f t="shared" si="2"/>
        <v>Average</v>
      </c>
      <c r="J10">
        <f t="shared" si="3"/>
        <v>95</v>
      </c>
      <c r="K10">
        <f t="shared" si="4"/>
        <v>55.98</v>
      </c>
      <c r="L10">
        <f t="shared" si="5"/>
        <v>20</v>
      </c>
      <c r="M10">
        <f t="shared" si="6"/>
        <v>462</v>
      </c>
      <c r="N10">
        <f t="shared" si="7"/>
        <v>38</v>
      </c>
    </row>
    <row r="11" spans="1:14">
      <c r="A11" t="s">
        <v>17</v>
      </c>
      <c r="B11" t="s">
        <v>9</v>
      </c>
      <c r="C11">
        <v>15</v>
      </c>
      <c r="D11">
        <v>95.7</v>
      </c>
      <c r="E11">
        <v>93</v>
      </c>
      <c r="F11">
        <v>56</v>
      </c>
      <c r="G11" t="str">
        <f t="shared" si="0"/>
        <v>PASS</v>
      </c>
      <c r="H11" t="str">
        <f t="shared" si="1"/>
        <v>D</v>
      </c>
      <c r="I11" t="str">
        <f t="shared" si="2"/>
        <v>Average</v>
      </c>
      <c r="J11">
        <f t="shared" si="3"/>
        <v>95</v>
      </c>
      <c r="K11">
        <f t="shared" si="4"/>
        <v>55.98</v>
      </c>
      <c r="L11">
        <f t="shared" si="5"/>
        <v>20</v>
      </c>
      <c r="M11">
        <f t="shared" si="6"/>
        <v>462</v>
      </c>
      <c r="N11">
        <f t="shared" si="7"/>
        <v>38</v>
      </c>
    </row>
    <row r="12" spans="1:14">
      <c r="A12" t="s">
        <v>18</v>
      </c>
      <c r="B12" t="s">
        <v>9</v>
      </c>
      <c r="C12">
        <v>16</v>
      </c>
      <c r="D12">
        <v>57</v>
      </c>
      <c r="E12">
        <v>81</v>
      </c>
      <c r="F12">
        <v>44</v>
      </c>
      <c r="G12" t="str">
        <f t="shared" si="0"/>
        <v>PASS</v>
      </c>
      <c r="H12" t="str">
        <f t="shared" si="1"/>
        <v>E</v>
      </c>
      <c r="I12" t="str">
        <f t="shared" si="2"/>
        <v>Average</v>
      </c>
      <c r="J12">
        <f t="shared" si="3"/>
        <v>95</v>
      </c>
      <c r="K12">
        <f t="shared" si="4"/>
        <v>55.98</v>
      </c>
      <c r="L12">
        <f t="shared" si="5"/>
        <v>20</v>
      </c>
      <c r="M12">
        <f t="shared" si="6"/>
        <v>462</v>
      </c>
      <c r="N12">
        <f t="shared" si="7"/>
        <v>38</v>
      </c>
    </row>
    <row r="13" spans="1:14">
      <c r="A13" t="s">
        <v>19</v>
      </c>
      <c r="B13" t="s">
        <v>7</v>
      </c>
      <c r="C13">
        <v>16</v>
      </c>
      <c r="D13">
        <v>74.7</v>
      </c>
      <c r="E13">
        <v>50</v>
      </c>
      <c r="F13">
        <v>69</v>
      </c>
      <c r="G13" t="str">
        <f t="shared" si="0"/>
        <v>PASS</v>
      </c>
      <c r="H13" t="str">
        <f t="shared" si="1"/>
        <v>C</v>
      </c>
      <c r="I13" t="str">
        <f t="shared" si="2"/>
        <v>Good</v>
      </c>
      <c r="J13">
        <f t="shared" si="3"/>
        <v>95</v>
      </c>
      <c r="K13">
        <f t="shared" si="4"/>
        <v>55.98</v>
      </c>
      <c r="L13">
        <f t="shared" si="5"/>
        <v>20</v>
      </c>
      <c r="M13">
        <f t="shared" si="6"/>
        <v>462</v>
      </c>
      <c r="N13">
        <f t="shared" si="7"/>
        <v>38</v>
      </c>
    </row>
    <row r="14" spans="1:14">
      <c r="A14" t="s">
        <v>20</v>
      </c>
      <c r="B14" t="s">
        <v>9</v>
      </c>
      <c r="C14">
        <v>19</v>
      </c>
      <c r="D14">
        <v>69.2</v>
      </c>
      <c r="E14">
        <v>31</v>
      </c>
      <c r="F14">
        <v>38</v>
      </c>
      <c r="G14" t="str">
        <f t="shared" si="0"/>
        <v>PASS</v>
      </c>
      <c r="H14" t="str">
        <f t="shared" si="1"/>
        <v>E</v>
      </c>
      <c r="I14" t="str">
        <f t="shared" si="2"/>
        <v>Poor</v>
      </c>
      <c r="J14">
        <f t="shared" si="3"/>
        <v>95</v>
      </c>
      <c r="K14">
        <f t="shared" si="4"/>
        <v>55.98</v>
      </c>
      <c r="L14">
        <f t="shared" si="5"/>
        <v>20</v>
      </c>
      <c r="M14">
        <f t="shared" si="6"/>
        <v>462</v>
      </c>
      <c r="N14">
        <f t="shared" si="7"/>
        <v>38</v>
      </c>
    </row>
    <row r="15" spans="1:14">
      <c r="A15" t="s">
        <v>21</v>
      </c>
      <c r="B15" t="s">
        <v>7</v>
      </c>
      <c r="C15">
        <v>19</v>
      </c>
      <c r="D15">
        <v>63.3</v>
      </c>
      <c r="E15">
        <v>85</v>
      </c>
      <c r="F15">
        <v>64</v>
      </c>
      <c r="G15" t="str">
        <f t="shared" si="0"/>
        <v>PASS</v>
      </c>
      <c r="H15" t="str">
        <f t="shared" si="1"/>
        <v>C</v>
      </c>
      <c r="I15" t="str">
        <f t="shared" si="2"/>
        <v>Good</v>
      </c>
      <c r="J15">
        <f t="shared" si="3"/>
        <v>95</v>
      </c>
      <c r="K15">
        <f t="shared" si="4"/>
        <v>55.98</v>
      </c>
      <c r="L15">
        <f t="shared" si="5"/>
        <v>20</v>
      </c>
      <c r="M15">
        <f t="shared" si="6"/>
        <v>462</v>
      </c>
      <c r="N15">
        <f t="shared" si="7"/>
        <v>38</v>
      </c>
    </row>
    <row r="16" spans="1:14">
      <c r="A16" t="s">
        <v>22</v>
      </c>
      <c r="B16" t="s">
        <v>9</v>
      </c>
      <c r="C16">
        <v>15</v>
      </c>
      <c r="D16">
        <v>93.8</v>
      </c>
      <c r="E16">
        <v>68</v>
      </c>
      <c r="F16">
        <v>84</v>
      </c>
      <c r="G16" t="str">
        <f t="shared" si="0"/>
        <v>PASS</v>
      </c>
      <c r="H16" t="str">
        <f t="shared" si="1"/>
        <v>B</v>
      </c>
      <c r="I16" t="str">
        <f t="shared" si="2"/>
        <v>Excellent</v>
      </c>
      <c r="J16">
        <f t="shared" si="3"/>
        <v>95</v>
      </c>
      <c r="K16">
        <f t="shared" si="4"/>
        <v>55.98</v>
      </c>
      <c r="L16">
        <f t="shared" si="5"/>
        <v>20</v>
      </c>
      <c r="M16">
        <f t="shared" si="6"/>
        <v>462</v>
      </c>
      <c r="N16">
        <f t="shared" si="7"/>
        <v>38</v>
      </c>
    </row>
    <row r="17" spans="1:14">
      <c r="A17" t="s">
        <v>23</v>
      </c>
      <c r="B17" t="s">
        <v>7</v>
      </c>
      <c r="C17">
        <v>16</v>
      </c>
      <c r="D17">
        <v>88.1</v>
      </c>
      <c r="E17">
        <v>92</v>
      </c>
      <c r="F17">
        <v>49</v>
      </c>
      <c r="G17" t="str">
        <f t="shared" si="0"/>
        <v>PASS</v>
      </c>
      <c r="H17" t="str">
        <f t="shared" si="1"/>
        <v>E</v>
      </c>
      <c r="I17" t="str">
        <f t="shared" si="2"/>
        <v>Average</v>
      </c>
      <c r="J17">
        <f t="shared" si="3"/>
        <v>95</v>
      </c>
      <c r="K17">
        <f t="shared" si="4"/>
        <v>55.98</v>
      </c>
      <c r="L17">
        <f t="shared" si="5"/>
        <v>20</v>
      </c>
      <c r="M17">
        <f t="shared" si="6"/>
        <v>462</v>
      </c>
      <c r="N17">
        <f t="shared" si="7"/>
        <v>38</v>
      </c>
    </row>
    <row r="18" spans="1:14">
      <c r="A18" t="s">
        <v>24</v>
      </c>
      <c r="B18" t="s">
        <v>7</v>
      </c>
      <c r="C18">
        <v>17</v>
      </c>
      <c r="D18">
        <v>99.3</v>
      </c>
      <c r="E18">
        <v>60</v>
      </c>
      <c r="F18">
        <v>89</v>
      </c>
      <c r="G18" t="str">
        <f t="shared" si="0"/>
        <v>PASS</v>
      </c>
      <c r="H18" t="str">
        <f t="shared" si="1"/>
        <v>B</v>
      </c>
      <c r="I18" t="str">
        <f t="shared" si="2"/>
        <v>Excellent</v>
      </c>
      <c r="J18">
        <f t="shared" si="3"/>
        <v>95</v>
      </c>
      <c r="K18">
        <f t="shared" si="4"/>
        <v>55.98</v>
      </c>
      <c r="L18">
        <f t="shared" si="5"/>
        <v>20</v>
      </c>
      <c r="M18">
        <f t="shared" si="6"/>
        <v>462</v>
      </c>
      <c r="N18">
        <f t="shared" si="7"/>
        <v>38</v>
      </c>
    </row>
    <row r="19" spans="1:14">
      <c r="A19" t="s">
        <v>25</v>
      </c>
      <c r="B19" t="s">
        <v>7</v>
      </c>
      <c r="C19">
        <v>15</v>
      </c>
      <c r="D19">
        <v>74.3</v>
      </c>
      <c r="E19">
        <v>90</v>
      </c>
      <c r="F19">
        <v>79</v>
      </c>
      <c r="G19" t="str">
        <f t="shared" si="0"/>
        <v>PASS</v>
      </c>
      <c r="H19" t="str">
        <f t="shared" si="1"/>
        <v>C</v>
      </c>
      <c r="I19" t="str">
        <f t="shared" si="2"/>
        <v>Good</v>
      </c>
      <c r="J19">
        <f t="shared" si="3"/>
        <v>95</v>
      </c>
      <c r="K19">
        <f t="shared" si="4"/>
        <v>55.98</v>
      </c>
      <c r="L19">
        <f t="shared" si="5"/>
        <v>20</v>
      </c>
      <c r="M19">
        <f t="shared" si="6"/>
        <v>462</v>
      </c>
      <c r="N19">
        <f t="shared" si="7"/>
        <v>38</v>
      </c>
    </row>
    <row r="20" spans="1:14">
      <c r="A20" t="s">
        <v>26</v>
      </c>
      <c r="B20" t="s">
        <v>7</v>
      </c>
      <c r="C20">
        <v>17</v>
      </c>
      <c r="D20">
        <v>93.6</v>
      </c>
      <c r="E20">
        <v>69</v>
      </c>
      <c r="F20">
        <v>65</v>
      </c>
      <c r="G20" t="str">
        <f t="shared" si="0"/>
        <v>PASS</v>
      </c>
      <c r="H20" t="str">
        <f t="shared" si="1"/>
        <v>C</v>
      </c>
      <c r="I20" t="str">
        <f t="shared" si="2"/>
        <v>Good</v>
      </c>
      <c r="J20">
        <f t="shared" si="3"/>
        <v>95</v>
      </c>
      <c r="K20">
        <f t="shared" si="4"/>
        <v>55.98</v>
      </c>
      <c r="L20">
        <f t="shared" si="5"/>
        <v>20</v>
      </c>
      <c r="M20">
        <f t="shared" si="6"/>
        <v>462</v>
      </c>
      <c r="N20">
        <f t="shared" si="7"/>
        <v>38</v>
      </c>
    </row>
    <row r="21" spans="1:14">
      <c r="A21" t="s">
        <v>27</v>
      </c>
      <c r="B21" t="s">
        <v>9</v>
      </c>
      <c r="C21">
        <v>18</v>
      </c>
      <c r="D21">
        <v>75.900000000000006</v>
      </c>
      <c r="E21">
        <v>38</v>
      </c>
      <c r="F21">
        <v>70</v>
      </c>
      <c r="G21" t="str">
        <f t="shared" si="0"/>
        <v>PASS</v>
      </c>
      <c r="H21" t="str">
        <f t="shared" si="1"/>
        <v>C</v>
      </c>
      <c r="I21" t="str">
        <f t="shared" si="2"/>
        <v>Good</v>
      </c>
      <c r="J21">
        <f t="shared" si="3"/>
        <v>95</v>
      </c>
      <c r="K21">
        <f t="shared" si="4"/>
        <v>55.98</v>
      </c>
      <c r="L21">
        <f t="shared" si="5"/>
        <v>20</v>
      </c>
      <c r="M21">
        <f t="shared" si="6"/>
        <v>462</v>
      </c>
      <c r="N21">
        <f t="shared" si="7"/>
        <v>38</v>
      </c>
    </row>
    <row r="22" spans="1:14">
      <c r="A22" t="s">
        <v>28</v>
      </c>
      <c r="B22" t="s">
        <v>7</v>
      </c>
      <c r="C22">
        <v>19</v>
      </c>
      <c r="D22">
        <v>61.5</v>
      </c>
      <c r="E22">
        <v>37</v>
      </c>
      <c r="F22">
        <v>46</v>
      </c>
      <c r="G22" t="str">
        <f t="shared" si="0"/>
        <v>PASS</v>
      </c>
      <c r="H22" t="str">
        <f t="shared" si="1"/>
        <v>E</v>
      </c>
      <c r="I22" t="str">
        <f t="shared" si="2"/>
        <v>Average</v>
      </c>
      <c r="J22">
        <f t="shared" si="3"/>
        <v>95</v>
      </c>
      <c r="K22">
        <f t="shared" si="4"/>
        <v>55.98</v>
      </c>
      <c r="L22">
        <f t="shared" si="5"/>
        <v>20</v>
      </c>
      <c r="M22">
        <f t="shared" si="6"/>
        <v>462</v>
      </c>
      <c r="N22">
        <f t="shared" si="7"/>
        <v>38</v>
      </c>
    </row>
    <row r="23" spans="1:14">
      <c r="A23" t="s">
        <v>29</v>
      </c>
      <c r="B23" t="s">
        <v>7</v>
      </c>
      <c r="C23">
        <v>15</v>
      </c>
      <c r="D23">
        <v>66.5</v>
      </c>
      <c r="E23">
        <v>92</v>
      </c>
      <c r="F23">
        <v>72</v>
      </c>
      <c r="G23" t="str">
        <f t="shared" si="0"/>
        <v>PASS</v>
      </c>
      <c r="H23" t="str">
        <f t="shared" si="1"/>
        <v>C</v>
      </c>
      <c r="I23" t="str">
        <f t="shared" si="2"/>
        <v>Good</v>
      </c>
      <c r="J23">
        <f t="shared" si="3"/>
        <v>95</v>
      </c>
      <c r="K23">
        <f t="shared" si="4"/>
        <v>55.98</v>
      </c>
      <c r="L23">
        <f t="shared" si="5"/>
        <v>20</v>
      </c>
      <c r="M23">
        <f t="shared" si="6"/>
        <v>462</v>
      </c>
      <c r="N23">
        <f t="shared" si="7"/>
        <v>38</v>
      </c>
    </row>
    <row r="24" spans="1:14">
      <c r="A24" t="s">
        <v>30</v>
      </c>
      <c r="B24" t="s">
        <v>7</v>
      </c>
      <c r="C24">
        <v>19</v>
      </c>
      <c r="D24">
        <v>73.599999999999994</v>
      </c>
      <c r="E24">
        <v>42</v>
      </c>
      <c r="F24">
        <v>48</v>
      </c>
      <c r="G24" t="str">
        <f t="shared" si="0"/>
        <v>PASS</v>
      </c>
      <c r="H24" t="str">
        <f t="shared" si="1"/>
        <v>E</v>
      </c>
      <c r="I24" t="str">
        <f t="shared" si="2"/>
        <v>Average</v>
      </c>
      <c r="J24">
        <f t="shared" si="3"/>
        <v>95</v>
      </c>
      <c r="K24">
        <f t="shared" si="4"/>
        <v>55.98</v>
      </c>
      <c r="L24">
        <f t="shared" si="5"/>
        <v>20</v>
      </c>
      <c r="M24">
        <f t="shared" si="6"/>
        <v>462</v>
      </c>
      <c r="N24">
        <f t="shared" si="7"/>
        <v>38</v>
      </c>
    </row>
    <row r="25" spans="1:14">
      <c r="A25" t="s">
        <v>31</v>
      </c>
      <c r="B25" t="s">
        <v>9</v>
      </c>
      <c r="C25">
        <v>17</v>
      </c>
      <c r="D25">
        <v>70.599999999999994</v>
      </c>
      <c r="E25">
        <v>81</v>
      </c>
      <c r="F25">
        <v>67</v>
      </c>
      <c r="G25" t="str">
        <f t="shared" si="0"/>
        <v>PASS</v>
      </c>
      <c r="H25" t="str">
        <f t="shared" si="1"/>
        <v>C</v>
      </c>
      <c r="I25" t="str">
        <f t="shared" si="2"/>
        <v>Good</v>
      </c>
      <c r="J25">
        <f t="shared" si="3"/>
        <v>95</v>
      </c>
      <c r="K25">
        <f t="shared" si="4"/>
        <v>55.98</v>
      </c>
      <c r="L25">
        <f t="shared" si="5"/>
        <v>20</v>
      </c>
      <c r="M25">
        <f t="shared" si="6"/>
        <v>462</v>
      </c>
      <c r="N25">
        <f t="shared" si="7"/>
        <v>38</v>
      </c>
    </row>
    <row r="26" spans="1:14">
      <c r="A26" t="s">
        <v>32</v>
      </c>
      <c r="B26" t="s">
        <v>9</v>
      </c>
      <c r="C26">
        <v>15</v>
      </c>
      <c r="D26">
        <v>59.6</v>
      </c>
      <c r="E26">
        <v>84</v>
      </c>
      <c r="F26">
        <v>38</v>
      </c>
      <c r="G26" t="str">
        <f t="shared" si="0"/>
        <v>PASS</v>
      </c>
      <c r="H26" t="str">
        <f t="shared" si="1"/>
        <v>E</v>
      </c>
      <c r="I26" t="str">
        <f t="shared" si="2"/>
        <v>Poor</v>
      </c>
      <c r="J26">
        <f t="shared" si="3"/>
        <v>95</v>
      </c>
      <c r="K26">
        <f t="shared" si="4"/>
        <v>55.98</v>
      </c>
      <c r="L26">
        <f t="shared" si="5"/>
        <v>20</v>
      </c>
      <c r="M26">
        <f t="shared" si="6"/>
        <v>462</v>
      </c>
      <c r="N26">
        <f t="shared" si="7"/>
        <v>38</v>
      </c>
    </row>
    <row r="27" spans="1:14">
      <c r="A27" t="s">
        <v>33</v>
      </c>
      <c r="B27" t="s">
        <v>9</v>
      </c>
      <c r="C27">
        <v>18</v>
      </c>
      <c r="D27">
        <v>93.7</v>
      </c>
      <c r="E27">
        <v>36</v>
      </c>
      <c r="F27">
        <v>53</v>
      </c>
      <c r="G27" t="str">
        <f t="shared" si="0"/>
        <v>PASS</v>
      </c>
      <c r="H27" t="str">
        <f t="shared" si="1"/>
        <v>D</v>
      </c>
      <c r="I27" t="str">
        <f t="shared" si="2"/>
        <v>Average</v>
      </c>
      <c r="J27">
        <f t="shared" si="3"/>
        <v>95</v>
      </c>
      <c r="K27">
        <f t="shared" si="4"/>
        <v>55.98</v>
      </c>
      <c r="L27">
        <f t="shared" si="5"/>
        <v>20</v>
      </c>
      <c r="M27">
        <f t="shared" si="6"/>
        <v>462</v>
      </c>
      <c r="N27">
        <f t="shared" si="7"/>
        <v>38</v>
      </c>
    </row>
    <row r="28" spans="1:14">
      <c r="A28" t="s">
        <v>34</v>
      </c>
      <c r="B28" t="s">
        <v>7</v>
      </c>
      <c r="C28">
        <v>15</v>
      </c>
      <c r="D28">
        <v>92.4</v>
      </c>
      <c r="E28">
        <v>91</v>
      </c>
      <c r="F28">
        <v>75</v>
      </c>
      <c r="G28" t="str">
        <f t="shared" si="0"/>
        <v>PASS</v>
      </c>
      <c r="H28" t="str">
        <f t="shared" si="1"/>
        <v>C</v>
      </c>
      <c r="I28" t="str">
        <f t="shared" si="2"/>
        <v>Good</v>
      </c>
      <c r="J28">
        <f t="shared" si="3"/>
        <v>95</v>
      </c>
      <c r="K28">
        <f t="shared" si="4"/>
        <v>55.98</v>
      </c>
      <c r="L28">
        <f t="shared" si="5"/>
        <v>20</v>
      </c>
      <c r="M28">
        <f t="shared" si="6"/>
        <v>462</v>
      </c>
      <c r="N28">
        <f t="shared" si="7"/>
        <v>38</v>
      </c>
    </row>
    <row r="29" spans="1:14">
      <c r="A29" t="s">
        <v>35</v>
      </c>
      <c r="B29" t="s">
        <v>9</v>
      </c>
      <c r="C29">
        <v>15</v>
      </c>
      <c r="D29">
        <v>68.900000000000006</v>
      </c>
      <c r="E29">
        <v>66</v>
      </c>
      <c r="F29">
        <v>42</v>
      </c>
      <c r="G29" t="str">
        <f t="shared" si="0"/>
        <v>PASS</v>
      </c>
      <c r="H29" t="str">
        <f t="shared" si="1"/>
        <v>E</v>
      </c>
      <c r="I29" t="str">
        <f t="shared" si="2"/>
        <v>Average</v>
      </c>
      <c r="J29">
        <f t="shared" si="3"/>
        <v>95</v>
      </c>
      <c r="K29">
        <f t="shared" si="4"/>
        <v>55.98</v>
      </c>
      <c r="L29">
        <f t="shared" si="5"/>
        <v>20</v>
      </c>
      <c r="M29">
        <f t="shared" si="6"/>
        <v>462</v>
      </c>
      <c r="N29">
        <f t="shared" si="7"/>
        <v>38</v>
      </c>
    </row>
    <row r="30" spans="1:14">
      <c r="A30" t="s">
        <v>36</v>
      </c>
      <c r="B30" t="s">
        <v>9</v>
      </c>
      <c r="C30">
        <v>16</v>
      </c>
      <c r="D30">
        <v>64.8</v>
      </c>
      <c r="E30">
        <v>37</v>
      </c>
      <c r="F30">
        <v>24</v>
      </c>
      <c r="G30" t="str">
        <f t="shared" si="0"/>
        <v>FAIL</v>
      </c>
      <c r="H30" t="str">
        <f t="shared" si="1"/>
        <v>E</v>
      </c>
      <c r="I30" t="str">
        <f t="shared" si="2"/>
        <v>Poor</v>
      </c>
      <c r="J30">
        <f t="shared" si="3"/>
        <v>95</v>
      </c>
      <c r="K30">
        <f t="shared" si="4"/>
        <v>55.98</v>
      </c>
      <c r="L30">
        <f t="shared" si="5"/>
        <v>20</v>
      </c>
      <c r="M30">
        <f t="shared" si="6"/>
        <v>462</v>
      </c>
      <c r="N30">
        <f t="shared" si="7"/>
        <v>38</v>
      </c>
    </row>
    <row r="31" spans="1:14">
      <c r="A31" t="s">
        <v>37</v>
      </c>
      <c r="B31" t="s">
        <v>9</v>
      </c>
      <c r="C31">
        <v>19</v>
      </c>
      <c r="D31">
        <v>76.599999999999994</v>
      </c>
      <c r="E31">
        <v>38</v>
      </c>
      <c r="F31">
        <v>78</v>
      </c>
      <c r="G31" t="str">
        <f t="shared" si="0"/>
        <v>PASS</v>
      </c>
      <c r="H31" t="str">
        <f t="shared" si="1"/>
        <v>C</v>
      </c>
      <c r="I31" t="str">
        <f t="shared" si="2"/>
        <v>Good</v>
      </c>
      <c r="J31">
        <f t="shared" si="3"/>
        <v>95</v>
      </c>
      <c r="K31">
        <f t="shared" si="4"/>
        <v>55.98</v>
      </c>
      <c r="L31">
        <f t="shared" si="5"/>
        <v>20</v>
      </c>
      <c r="M31">
        <f t="shared" si="6"/>
        <v>462</v>
      </c>
      <c r="N31">
        <f t="shared" si="7"/>
        <v>38</v>
      </c>
    </row>
    <row r="32" spans="1:14">
      <c r="A32" t="s">
        <v>38</v>
      </c>
      <c r="B32" t="s">
        <v>7</v>
      </c>
      <c r="C32">
        <v>16</v>
      </c>
      <c r="D32">
        <v>56</v>
      </c>
      <c r="E32">
        <v>40</v>
      </c>
      <c r="F32">
        <v>43</v>
      </c>
      <c r="G32" t="str">
        <f t="shared" si="0"/>
        <v>PASS</v>
      </c>
      <c r="H32" t="str">
        <f t="shared" si="1"/>
        <v>E</v>
      </c>
      <c r="I32" t="str">
        <f t="shared" si="2"/>
        <v>Average</v>
      </c>
      <c r="J32">
        <f t="shared" si="3"/>
        <v>95</v>
      </c>
      <c r="K32">
        <f t="shared" si="4"/>
        <v>55.98</v>
      </c>
      <c r="L32">
        <f t="shared" si="5"/>
        <v>20</v>
      </c>
      <c r="M32">
        <f t="shared" si="6"/>
        <v>462</v>
      </c>
      <c r="N32">
        <f t="shared" si="7"/>
        <v>38</v>
      </c>
    </row>
    <row r="33" spans="1:14">
      <c r="A33" t="s">
        <v>39</v>
      </c>
      <c r="B33" t="s">
        <v>9</v>
      </c>
      <c r="C33">
        <v>17</v>
      </c>
      <c r="D33">
        <v>83.5</v>
      </c>
      <c r="E33">
        <v>80</v>
      </c>
      <c r="F33">
        <v>42</v>
      </c>
      <c r="G33" t="str">
        <f t="shared" si="0"/>
        <v>PASS</v>
      </c>
      <c r="H33" t="str">
        <f t="shared" si="1"/>
        <v>E</v>
      </c>
      <c r="I33" t="str">
        <f t="shared" si="2"/>
        <v>Average</v>
      </c>
      <c r="J33">
        <f t="shared" si="3"/>
        <v>95</v>
      </c>
      <c r="K33">
        <f t="shared" si="4"/>
        <v>55.98</v>
      </c>
      <c r="L33">
        <f t="shared" si="5"/>
        <v>20</v>
      </c>
      <c r="M33">
        <f t="shared" si="6"/>
        <v>462</v>
      </c>
      <c r="N33">
        <f t="shared" si="7"/>
        <v>38</v>
      </c>
    </row>
    <row r="34" spans="1:14">
      <c r="A34" t="s">
        <v>40</v>
      </c>
      <c r="B34" t="s">
        <v>9</v>
      </c>
      <c r="C34">
        <v>18</v>
      </c>
      <c r="D34">
        <v>96.5</v>
      </c>
      <c r="E34">
        <v>42</v>
      </c>
      <c r="F34">
        <v>42</v>
      </c>
      <c r="G34" t="str">
        <f t="shared" si="0"/>
        <v>PASS</v>
      </c>
      <c r="H34" t="str">
        <f t="shared" si="1"/>
        <v>E</v>
      </c>
      <c r="I34" t="str">
        <f t="shared" si="2"/>
        <v>Average</v>
      </c>
      <c r="J34">
        <f t="shared" si="3"/>
        <v>95</v>
      </c>
      <c r="K34">
        <f t="shared" si="4"/>
        <v>55.98</v>
      </c>
      <c r="L34">
        <f t="shared" si="5"/>
        <v>20</v>
      </c>
      <c r="M34">
        <f t="shared" si="6"/>
        <v>462</v>
      </c>
      <c r="N34">
        <f t="shared" si="7"/>
        <v>38</v>
      </c>
    </row>
    <row r="35" spans="1:14">
      <c r="A35" t="s">
        <v>41</v>
      </c>
      <c r="B35" t="s">
        <v>7</v>
      </c>
      <c r="C35">
        <v>19</v>
      </c>
      <c r="D35">
        <v>56.6</v>
      </c>
      <c r="E35">
        <v>77</v>
      </c>
      <c r="F35">
        <v>41</v>
      </c>
      <c r="G35" t="str">
        <f t="shared" si="0"/>
        <v>PASS</v>
      </c>
      <c r="H35" t="str">
        <f t="shared" si="1"/>
        <v>E</v>
      </c>
      <c r="I35" t="str">
        <f t="shared" si="2"/>
        <v>Average</v>
      </c>
      <c r="J35">
        <f t="shared" si="3"/>
        <v>95</v>
      </c>
      <c r="K35">
        <f t="shared" si="4"/>
        <v>55.98</v>
      </c>
      <c r="L35">
        <f t="shared" si="5"/>
        <v>20</v>
      </c>
      <c r="M35">
        <f t="shared" si="6"/>
        <v>462</v>
      </c>
      <c r="N35">
        <f t="shared" si="7"/>
        <v>38</v>
      </c>
    </row>
    <row r="36" spans="1:14">
      <c r="A36" t="s">
        <v>42</v>
      </c>
      <c r="B36" t="s">
        <v>7</v>
      </c>
      <c r="C36">
        <v>18</v>
      </c>
      <c r="D36">
        <v>77.2</v>
      </c>
      <c r="E36">
        <v>43</v>
      </c>
      <c r="F36">
        <v>62</v>
      </c>
      <c r="G36" t="str">
        <f t="shared" si="0"/>
        <v>PASS</v>
      </c>
      <c r="H36" t="str">
        <f t="shared" si="1"/>
        <v>C</v>
      </c>
      <c r="I36" t="str">
        <f t="shared" si="2"/>
        <v>Good</v>
      </c>
      <c r="J36">
        <f t="shared" si="3"/>
        <v>95</v>
      </c>
      <c r="K36">
        <f t="shared" si="4"/>
        <v>55.98</v>
      </c>
      <c r="L36">
        <f t="shared" si="5"/>
        <v>20</v>
      </c>
      <c r="M36">
        <f t="shared" si="6"/>
        <v>462</v>
      </c>
      <c r="N36">
        <f t="shared" si="7"/>
        <v>38</v>
      </c>
    </row>
    <row r="37" spans="1:14">
      <c r="A37" t="s">
        <v>43</v>
      </c>
      <c r="B37" t="s">
        <v>9</v>
      </c>
      <c r="C37">
        <v>15</v>
      </c>
      <c r="D37">
        <v>55.4</v>
      </c>
      <c r="E37">
        <v>66</v>
      </c>
      <c r="F37">
        <v>78</v>
      </c>
      <c r="G37" t="str">
        <f t="shared" si="0"/>
        <v>PASS</v>
      </c>
      <c r="H37" t="str">
        <f t="shared" si="1"/>
        <v>C</v>
      </c>
      <c r="I37" t="str">
        <f t="shared" si="2"/>
        <v>Good</v>
      </c>
      <c r="J37">
        <f t="shared" si="3"/>
        <v>95</v>
      </c>
      <c r="K37">
        <f t="shared" si="4"/>
        <v>55.98</v>
      </c>
      <c r="L37">
        <f t="shared" si="5"/>
        <v>20</v>
      </c>
      <c r="M37">
        <f t="shared" si="6"/>
        <v>462</v>
      </c>
      <c r="N37">
        <f t="shared" si="7"/>
        <v>38</v>
      </c>
    </row>
    <row r="38" spans="1:14">
      <c r="A38" t="s">
        <v>44</v>
      </c>
      <c r="B38" t="s">
        <v>7</v>
      </c>
      <c r="C38">
        <v>17</v>
      </c>
      <c r="D38">
        <v>84.4</v>
      </c>
      <c r="E38">
        <v>36</v>
      </c>
      <c r="F38">
        <v>31</v>
      </c>
      <c r="G38" t="str">
        <f t="shared" si="0"/>
        <v>FAIL</v>
      </c>
      <c r="H38" t="str">
        <f t="shared" si="1"/>
        <v>E</v>
      </c>
      <c r="I38" t="str">
        <f t="shared" si="2"/>
        <v>Poor</v>
      </c>
      <c r="J38">
        <f t="shared" si="3"/>
        <v>95</v>
      </c>
      <c r="K38">
        <f t="shared" si="4"/>
        <v>55.98</v>
      </c>
      <c r="L38">
        <f t="shared" si="5"/>
        <v>20</v>
      </c>
      <c r="M38">
        <f t="shared" si="6"/>
        <v>462</v>
      </c>
      <c r="N38">
        <f t="shared" si="7"/>
        <v>38</v>
      </c>
    </row>
    <row r="39" spans="1:14">
      <c r="A39" t="s">
        <v>45</v>
      </c>
      <c r="B39" t="s">
        <v>9</v>
      </c>
      <c r="C39">
        <v>17</v>
      </c>
      <c r="D39">
        <v>50.2</v>
      </c>
      <c r="E39">
        <v>86</v>
      </c>
      <c r="F39">
        <v>38</v>
      </c>
      <c r="G39" t="str">
        <f t="shared" si="0"/>
        <v>PASS</v>
      </c>
      <c r="H39" t="str">
        <f t="shared" si="1"/>
        <v>E</v>
      </c>
      <c r="I39" t="str">
        <f t="shared" si="2"/>
        <v>Poor</v>
      </c>
      <c r="J39">
        <f t="shared" si="3"/>
        <v>95</v>
      </c>
      <c r="K39">
        <f t="shared" si="4"/>
        <v>55.98</v>
      </c>
      <c r="L39">
        <f t="shared" si="5"/>
        <v>20</v>
      </c>
      <c r="M39">
        <f t="shared" si="6"/>
        <v>462</v>
      </c>
      <c r="N39">
        <f t="shared" si="7"/>
        <v>38</v>
      </c>
    </row>
    <row r="40" spans="1:14">
      <c r="A40" t="s">
        <v>46</v>
      </c>
      <c r="B40" t="s">
        <v>9</v>
      </c>
      <c r="C40">
        <v>19</v>
      </c>
      <c r="D40">
        <v>55.6</v>
      </c>
      <c r="E40">
        <v>48</v>
      </c>
      <c r="F40">
        <v>27</v>
      </c>
      <c r="G40" t="str">
        <f t="shared" si="0"/>
        <v>FAIL</v>
      </c>
      <c r="H40" t="str">
        <f t="shared" si="1"/>
        <v>E</v>
      </c>
      <c r="I40" t="str">
        <f t="shared" si="2"/>
        <v>Poor</v>
      </c>
      <c r="J40">
        <f t="shared" si="3"/>
        <v>95</v>
      </c>
      <c r="K40">
        <f t="shared" si="4"/>
        <v>55.98</v>
      </c>
      <c r="L40">
        <f t="shared" si="5"/>
        <v>20</v>
      </c>
      <c r="M40">
        <f t="shared" si="6"/>
        <v>462</v>
      </c>
      <c r="N40">
        <f t="shared" si="7"/>
        <v>38</v>
      </c>
    </row>
    <row r="41" spans="1:14">
      <c r="A41" t="s">
        <v>47</v>
      </c>
      <c r="B41" t="s">
        <v>7</v>
      </c>
      <c r="C41">
        <v>15</v>
      </c>
      <c r="D41">
        <v>68.2</v>
      </c>
      <c r="E41">
        <v>61</v>
      </c>
      <c r="F41">
        <v>55</v>
      </c>
      <c r="G41" t="str">
        <f t="shared" si="0"/>
        <v>PASS</v>
      </c>
      <c r="H41" t="str">
        <f t="shared" si="1"/>
        <v>D</v>
      </c>
      <c r="I41" t="str">
        <f t="shared" si="2"/>
        <v>Average</v>
      </c>
      <c r="J41">
        <f t="shared" si="3"/>
        <v>95</v>
      </c>
      <c r="K41">
        <f t="shared" si="4"/>
        <v>55.98</v>
      </c>
      <c r="L41">
        <f t="shared" si="5"/>
        <v>20</v>
      </c>
      <c r="M41">
        <f t="shared" si="6"/>
        <v>462</v>
      </c>
      <c r="N41">
        <f t="shared" si="7"/>
        <v>38</v>
      </c>
    </row>
    <row r="42" spans="1:14">
      <c r="A42" t="s">
        <v>48</v>
      </c>
      <c r="B42" t="s">
        <v>7</v>
      </c>
      <c r="C42">
        <v>17</v>
      </c>
      <c r="D42">
        <v>78</v>
      </c>
      <c r="E42">
        <v>50</v>
      </c>
      <c r="F42">
        <v>82</v>
      </c>
      <c r="G42" t="str">
        <f t="shared" si="0"/>
        <v>PASS</v>
      </c>
      <c r="H42" t="str">
        <f t="shared" si="1"/>
        <v>B</v>
      </c>
      <c r="I42" t="str">
        <f t="shared" si="2"/>
        <v>Excellent</v>
      </c>
      <c r="J42">
        <f t="shared" si="3"/>
        <v>95</v>
      </c>
      <c r="K42">
        <f t="shared" si="4"/>
        <v>55.98</v>
      </c>
      <c r="L42">
        <f t="shared" si="5"/>
        <v>20</v>
      </c>
      <c r="M42">
        <f t="shared" si="6"/>
        <v>462</v>
      </c>
      <c r="N42">
        <f t="shared" si="7"/>
        <v>38</v>
      </c>
    </row>
    <row r="43" spans="1:14">
      <c r="A43" t="s">
        <v>49</v>
      </c>
      <c r="B43" t="s">
        <v>7</v>
      </c>
      <c r="C43">
        <v>18</v>
      </c>
      <c r="D43">
        <v>59</v>
      </c>
      <c r="E43">
        <v>64</v>
      </c>
      <c r="F43">
        <v>23</v>
      </c>
      <c r="G43" t="str">
        <f t="shared" si="0"/>
        <v>FAIL</v>
      </c>
      <c r="H43" t="str">
        <f t="shared" si="1"/>
        <v>E</v>
      </c>
      <c r="I43" t="str">
        <f t="shared" si="2"/>
        <v>Poor</v>
      </c>
      <c r="J43">
        <f t="shared" si="3"/>
        <v>95</v>
      </c>
      <c r="K43">
        <f t="shared" si="4"/>
        <v>55.98</v>
      </c>
      <c r="L43">
        <f t="shared" si="5"/>
        <v>20</v>
      </c>
      <c r="M43">
        <f t="shared" si="6"/>
        <v>462</v>
      </c>
      <c r="N43">
        <f t="shared" si="7"/>
        <v>38</v>
      </c>
    </row>
    <row r="44" spans="1:14">
      <c r="A44" t="s">
        <v>50</v>
      </c>
      <c r="B44" t="s">
        <v>7</v>
      </c>
      <c r="C44">
        <v>18</v>
      </c>
      <c r="D44">
        <v>51.9</v>
      </c>
      <c r="E44">
        <v>88</v>
      </c>
      <c r="F44">
        <v>72</v>
      </c>
      <c r="G44" t="str">
        <f t="shared" si="0"/>
        <v>PASS</v>
      </c>
      <c r="H44" t="str">
        <f t="shared" si="1"/>
        <v>C</v>
      </c>
      <c r="I44" t="str">
        <f t="shared" si="2"/>
        <v>Good</v>
      </c>
      <c r="J44">
        <f t="shared" si="3"/>
        <v>95</v>
      </c>
      <c r="K44">
        <f t="shared" si="4"/>
        <v>55.98</v>
      </c>
      <c r="L44">
        <f t="shared" si="5"/>
        <v>20</v>
      </c>
      <c r="M44">
        <f t="shared" si="6"/>
        <v>462</v>
      </c>
      <c r="N44">
        <f t="shared" si="7"/>
        <v>38</v>
      </c>
    </row>
    <row r="45" spans="1:14">
      <c r="A45" t="s">
        <v>51</v>
      </c>
      <c r="B45" t="s">
        <v>9</v>
      </c>
      <c r="C45">
        <v>16</v>
      </c>
      <c r="D45">
        <v>51.2</v>
      </c>
      <c r="E45">
        <v>65</v>
      </c>
      <c r="F45">
        <v>28</v>
      </c>
      <c r="G45" t="str">
        <f t="shared" si="0"/>
        <v>FAIL</v>
      </c>
      <c r="H45" t="str">
        <f t="shared" si="1"/>
        <v>E</v>
      </c>
      <c r="I45" t="str">
        <f t="shared" si="2"/>
        <v>Poor</v>
      </c>
      <c r="J45">
        <f t="shared" si="3"/>
        <v>95</v>
      </c>
      <c r="K45">
        <f t="shared" si="4"/>
        <v>55.98</v>
      </c>
      <c r="L45">
        <f t="shared" si="5"/>
        <v>20</v>
      </c>
      <c r="M45">
        <f t="shared" si="6"/>
        <v>462</v>
      </c>
      <c r="N45">
        <f t="shared" si="7"/>
        <v>38</v>
      </c>
    </row>
    <row r="46" spans="1:14">
      <c r="A46" t="s">
        <v>52</v>
      </c>
      <c r="B46" t="s">
        <v>9</v>
      </c>
      <c r="C46">
        <v>17</v>
      </c>
      <c r="D46">
        <v>75.5</v>
      </c>
      <c r="E46">
        <v>44</v>
      </c>
      <c r="F46">
        <v>57</v>
      </c>
      <c r="G46" t="str">
        <f t="shared" si="0"/>
        <v>PASS</v>
      </c>
      <c r="H46" t="str">
        <f t="shared" si="1"/>
        <v>D</v>
      </c>
      <c r="I46" t="str">
        <f t="shared" si="2"/>
        <v>Average</v>
      </c>
      <c r="J46">
        <f t="shared" si="3"/>
        <v>95</v>
      </c>
      <c r="K46">
        <f t="shared" si="4"/>
        <v>55.98</v>
      </c>
      <c r="L46">
        <f t="shared" si="5"/>
        <v>20</v>
      </c>
      <c r="M46">
        <f t="shared" si="6"/>
        <v>462</v>
      </c>
      <c r="N46">
        <f t="shared" si="7"/>
        <v>38</v>
      </c>
    </row>
    <row r="47" spans="1:14">
      <c r="A47" t="s">
        <v>53</v>
      </c>
      <c r="B47" t="s">
        <v>7</v>
      </c>
      <c r="C47">
        <v>19</v>
      </c>
      <c r="D47">
        <v>51.9</v>
      </c>
      <c r="E47">
        <v>70</v>
      </c>
      <c r="F47">
        <v>42</v>
      </c>
      <c r="G47" t="str">
        <f t="shared" si="0"/>
        <v>PASS</v>
      </c>
      <c r="H47" t="str">
        <f t="shared" si="1"/>
        <v>E</v>
      </c>
      <c r="I47" t="str">
        <f t="shared" si="2"/>
        <v>Average</v>
      </c>
      <c r="J47">
        <f t="shared" si="3"/>
        <v>95</v>
      </c>
      <c r="K47">
        <f t="shared" si="4"/>
        <v>55.98</v>
      </c>
      <c r="L47">
        <f t="shared" si="5"/>
        <v>20</v>
      </c>
      <c r="M47">
        <f t="shared" si="6"/>
        <v>462</v>
      </c>
      <c r="N47">
        <f t="shared" si="7"/>
        <v>38</v>
      </c>
    </row>
    <row r="48" spans="1:14">
      <c r="A48" t="s">
        <v>54</v>
      </c>
      <c r="B48" t="s">
        <v>7</v>
      </c>
      <c r="C48">
        <v>18</v>
      </c>
      <c r="D48">
        <v>78.8</v>
      </c>
      <c r="E48">
        <v>30</v>
      </c>
      <c r="F48">
        <v>75</v>
      </c>
      <c r="G48" t="str">
        <f t="shared" si="0"/>
        <v>PASS</v>
      </c>
      <c r="H48" t="str">
        <f t="shared" si="1"/>
        <v>C</v>
      </c>
      <c r="I48" t="str">
        <f t="shared" si="2"/>
        <v>Good</v>
      </c>
      <c r="J48">
        <f t="shared" si="3"/>
        <v>95</v>
      </c>
      <c r="K48">
        <f t="shared" si="4"/>
        <v>55.98</v>
      </c>
      <c r="L48">
        <f t="shared" si="5"/>
        <v>20</v>
      </c>
      <c r="M48">
        <f t="shared" si="6"/>
        <v>462</v>
      </c>
      <c r="N48">
        <f t="shared" si="7"/>
        <v>38</v>
      </c>
    </row>
    <row r="49" spans="1:14">
      <c r="A49" t="s">
        <v>55</v>
      </c>
      <c r="B49" t="s">
        <v>7</v>
      </c>
      <c r="C49">
        <v>17</v>
      </c>
      <c r="D49">
        <v>53.5</v>
      </c>
      <c r="E49">
        <v>68</v>
      </c>
      <c r="F49">
        <v>53</v>
      </c>
      <c r="G49" t="str">
        <f t="shared" si="0"/>
        <v>PASS</v>
      </c>
      <c r="H49" t="str">
        <f t="shared" si="1"/>
        <v>D</v>
      </c>
      <c r="I49" t="str">
        <f t="shared" si="2"/>
        <v>Average</v>
      </c>
      <c r="J49">
        <f t="shared" si="3"/>
        <v>95</v>
      </c>
      <c r="K49">
        <f t="shared" si="4"/>
        <v>55.98</v>
      </c>
      <c r="L49">
        <f t="shared" si="5"/>
        <v>20</v>
      </c>
      <c r="M49">
        <f t="shared" si="6"/>
        <v>462</v>
      </c>
      <c r="N49">
        <f t="shared" si="7"/>
        <v>38</v>
      </c>
    </row>
    <row r="50" spans="1:14">
      <c r="A50" t="s">
        <v>56</v>
      </c>
      <c r="B50" t="s">
        <v>9</v>
      </c>
      <c r="C50">
        <v>18</v>
      </c>
      <c r="D50">
        <v>70.099999999999994</v>
      </c>
      <c r="E50">
        <v>83</v>
      </c>
      <c r="F50">
        <v>61</v>
      </c>
      <c r="G50" t="str">
        <f t="shared" si="0"/>
        <v>PASS</v>
      </c>
      <c r="H50" t="str">
        <f t="shared" si="1"/>
        <v>C</v>
      </c>
      <c r="I50" t="str">
        <f t="shared" si="2"/>
        <v>Good</v>
      </c>
      <c r="J50">
        <f t="shared" si="3"/>
        <v>95</v>
      </c>
      <c r="K50">
        <f t="shared" si="4"/>
        <v>55.98</v>
      </c>
      <c r="L50">
        <f t="shared" si="5"/>
        <v>20</v>
      </c>
      <c r="M50">
        <f t="shared" si="6"/>
        <v>462</v>
      </c>
      <c r="N50">
        <f t="shared" si="7"/>
        <v>38</v>
      </c>
    </row>
    <row r="51" spans="1:14">
      <c r="A51" t="s">
        <v>57</v>
      </c>
      <c r="B51" t="s">
        <v>9</v>
      </c>
      <c r="C51">
        <v>16</v>
      </c>
      <c r="D51">
        <v>78.5</v>
      </c>
      <c r="E51">
        <v>66</v>
      </c>
      <c r="F51">
        <v>59</v>
      </c>
      <c r="G51" t="str">
        <f t="shared" si="0"/>
        <v>PASS</v>
      </c>
      <c r="H51" t="str">
        <f t="shared" si="1"/>
        <v>D</v>
      </c>
      <c r="I51" t="str">
        <f t="shared" si="2"/>
        <v>Average</v>
      </c>
      <c r="J51">
        <f t="shared" si="3"/>
        <v>95</v>
      </c>
      <c r="K51">
        <f t="shared" si="4"/>
        <v>55.98</v>
      </c>
      <c r="L51">
        <f t="shared" si="5"/>
        <v>20</v>
      </c>
      <c r="M51">
        <f t="shared" si="6"/>
        <v>462</v>
      </c>
      <c r="N51">
        <f t="shared" si="7"/>
        <v>38</v>
      </c>
    </row>
    <row r="52" spans="1:14">
      <c r="A52" t="s">
        <v>58</v>
      </c>
      <c r="B52" t="s">
        <v>9</v>
      </c>
      <c r="C52">
        <v>19</v>
      </c>
      <c r="D52">
        <v>82.7</v>
      </c>
      <c r="E52">
        <v>57</v>
      </c>
      <c r="F52">
        <v>68</v>
      </c>
      <c r="G52" t="str">
        <f t="shared" si="0"/>
        <v>PASS</v>
      </c>
      <c r="H52" t="str">
        <f t="shared" si="1"/>
        <v>C</v>
      </c>
      <c r="I52" t="str">
        <f t="shared" si="2"/>
        <v>Good</v>
      </c>
      <c r="J52">
        <f t="shared" si="3"/>
        <v>95</v>
      </c>
      <c r="K52">
        <f t="shared" si="4"/>
        <v>55.98</v>
      </c>
      <c r="L52">
        <f t="shared" si="5"/>
        <v>20</v>
      </c>
      <c r="M52">
        <f t="shared" si="6"/>
        <v>462</v>
      </c>
      <c r="N52">
        <f t="shared" si="7"/>
        <v>38</v>
      </c>
    </row>
    <row r="53" spans="1:14">
      <c r="A53" t="s">
        <v>59</v>
      </c>
      <c r="B53" t="s">
        <v>9</v>
      </c>
      <c r="C53">
        <v>16</v>
      </c>
      <c r="D53">
        <v>54.2</v>
      </c>
      <c r="E53">
        <v>60</v>
      </c>
      <c r="F53">
        <v>68</v>
      </c>
      <c r="G53" t="str">
        <f t="shared" si="0"/>
        <v>PASS</v>
      </c>
      <c r="H53" t="str">
        <f t="shared" si="1"/>
        <v>C</v>
      </c>
      <c r="I53" t="str">
        <f t="shared" si="2"/>
        <v>Good</v>
      </c>
      <c r="J53">
        <f t="shared" si="3"/>
        <v>95</v>
      </c>
      <c r="K53">
        <f t="shared" si="4"/>
        <v>55.98</v>
      </c>
      <c r="L53">
        <f t="shared" si="5"/>
        <v>20</v>
      </c>
      <c r="M53">
        <f t="shared" si="6"/>
        <v>462</v>
      </c>
      <c r="N53">
        <f t="shared" si="7"/>
        <v>38</v>
      </c>
    </row>
    <row r="54" spans="1:14">
      <c r="A54" t="s">
        <v>60</v>
      </c>
      <c r="B54" t="s">
        <v>9</v>
      </c>
      <c r="C54">
        <v>16</v>
      </c>
      <c r="D54">
        <v>60</v>
      </c>
      <c r="E54">
        <v>90</v>
      </c>
      <c r="F54">
        <v>80</v>
      </c>
      <c r="G54" t="str">
        <f t="shared" si="0"/>
        <v>PASS</v>
      </c>
      <c r="H54" t="str">
        <f t="shared" si="1"/>
        <v>B</v>
      </c>
      <c r="I54" t="str">
        <f t="shared" si="2"/>
        <v>Excellent</v>
      </c>
      <c r="J54">
        <f t="shared" si="3"/>
        <v>95</v>
      </c>
      <c r="K54">
        <f t="shared" si="4"/>
        <v>55.98</v>
      </c>
      <c r="L54">
        <f t="shared" si="5"/>
        <v>20</v>
      </c>
      <c r="M54">
        <f t="shared" si="6"/>
        <v>462</v>
      </c>
      <c r="N54">
        <f t="shared" si="7"/>
        <v>38</v>
      </c>
    </row>
    <row r="55" spans="1:14">
      <c r="A55" t="s">
        <v>61</v>
      </c>
      <c r="B55" t="s">
        <v>7</v>
      </c>
      <c r="C55">
        <v>18</v>
      </c>
      <c r="D55">
        <v>94.3</v>
      </c>
      <c r="E55">
        <v>93</v>
      </c>
      <c r="F55">
        <v>66</v>
      </c>
      <c r="G55" t="str">
        <f t="shared" si="0"/>
        <v>PASS</v>
      </c>
      <c r="H55" t="str">
        <f t="shared" si="1"/>
        <v>C</v>
      </c>
      <c r="I55" t="str">
        <f t="shared" si="2"/>
        <v>Good</v>
      </c>
      <c r="J55">
        <f t="shared" si="3"/>
        <v>95</v>
      </c>
      <c r="K55">
        <f t="shared" si="4"/>
        <v>55.98</v>
      </c>
      <c r="L55">
        <f t="shared" si="5"/>
        <v>20</v>
      </c>
      <c r="M55">
        <f t="shared" si="6"/>
        <v>462</v>
      </c>
      <c r="N55">
        <f t="shared" si="7"/>
        <v>38</v>
      </c>
    </row>
    <row r="56" spans="1:14">
      <c r="A56" t="s">
        <v>62</v>
      </c>
      <c r="B56" t="s">
        <v>7</v>
      </c>
      <c r="C56">
        <v>16</v>
      </c>
      <c r="D56">
        <v>84.4</v>
      </c>
      <c r="E56">
        <v>52</v>
      </c>
      <c r="F56">
        <v>78</v>
      </c>
      <c r="G56" t="str">
        <f t="shared" si="0"/>
        <v>PASS</v>
      </c>
      <c r="H56" t="str">
        <f t="shared" si="1"/>
        <v>C</v>
      </c>
      <c r="I56" t="str">
        <f t="shared" si="2"/>
        <v>Good</v>
      </c>
      <c r="J56">
        <f t="shared" si="3"/>
        <v>95</v>
      </c>
      <c r="K56">
        <f t="shared" si="4"/>
        <v>55.98</v>
      </c>
      <c r="L56">
        <f t="shared" si="5"/>
        <v>20</v>
      </c>
      <c r="M56">
        <f t="shared" si="6"/>
        <v>462</v>
      </c>
      <c r="N56">
        <f t="shared" si="7"/>
        <v>38</v>
      </c>
    </row>
    <row r="57" spans="1:14">
      <c r="A57" t="s">
        <v>63</v>
      </c>
      <c r="B57" t="s">
        <v>9</v>
      </c>
      <c r="C57">
        <v>15</v>
      </c>
      <c r="D57">
        <v>62.5</v>
      </c>
      <c r="E57">
        <v>89</v>
      </c>
      <c r="F57">
        <v>71</v>
      </c>
      <c r="G57" t="str">
        <f t="shared" si="0"/>
        <v>PASS</v>
      </c>
      <c r="H57" t="str">
        <f t="shared" si="1"/>
        <v>C</v>
      </c>
      <c r="I57" t="str">
        <f t="shared" si="2"/>
        <v>Good</v>
      </c>
      <c r="J57">
        <f t="shared" si="3"/>
        <v>95</v>
      </c>
      <c r="K57">
        <f t="shared" si="4"/>
        <v>55.98</v>
      </c>
      <c r="L57">
        <f t="shared" si="5"/>
        <v>20</v>
      </c>
      <c r="M57">
        <f t="shared" si="6"/>
        <v>462</v>
      </c>
      <c r="N57">
        <f t="shared" si="7"/>
        <v>38</v>
      </c>
    </row>
    <row r="58" spans="1:14">
      <c r="A58" t="s">
        <v>64</v>
      </c>
      <c r="B58" t="s">
        <v>9</v>
      </c>
      <c r="C58">
        <v>18</v>
      </c>
      <c r="D58">
        <v>90.8</v>
      </c>
      <c r="E58">
        <v>50</v>
      </c>
      <c r="F58">
        <v>76</v>
      </c>
      <c r="G58" t="str">
        <f t="shared" si="0"/>
        <v>PASS</v>
      </c>
      <c r="H58" t="str">
        <f t="shared" si="1"/>
        <v>C</v>
      </c>
      <c r="I58" t="str">
        <f t="shared" si="2"/>
        <v>Good</v>
      </c>
      <c r="J58">
        <f t="shared" si="3"/>
        <v>95</v>
      </c>
      <c r="K58">
        <f t="shared" si="4"/>
        <v>55.98</v>
      </c>
      <c r="L58">
        <f t="shared" si="5"/>
        <v>20</v>
      </c>
      <c r="M58">
        <f t="shared" si="6"/>
        <v>462</v>
      </c>
      <c r="N58">
        <f t="shared" si="7"/>
        <v>38</v>
      </c>
    </row>
    <row r="59" spans="1:14">
      <c r="A59" t="s">
        <v>65</v>
      </c>
      <c r="B59" t="s">
        <v>9</v>
      </c>
      <c r="C59">
        <v>18</v>
      </c>
      <c r="D59">
        <v>87.6</v>
      </c>
      <c r="E59">
        <v>65</v>
      </c>
      <c r="F59">
        <v>53</v>
      </c>
      <c r="G59" t="str">
        <f t="shared" si="0"/>
        <v>PASS</v>
      </c>
      <c r="H59" t="str">
        <f t="shared" si="1"/>
        <v>D</v>
      </c>
      <c r="I59" t="str">
        <f t="shared" si="2"/>
        <v>Average</v>
      </c>
      <c r="J59">
        <f t="shared" si="3"/>
        <v>95</v>
      </c>
      <c r="K59">
        <f t="shared" si="4"/>
        <v>55.98</v>
      </c>
      <c r="L59">
        <f t="shared" si="5"/>
        <v>20</v>
      </c>
      <c r="M59">
        <f t="shared" si="6"/>
        <v>462</v>
      </c>
      <c r="N59">
        <f t="shared" si="7"/>
        <v>38</v>
      </c>
    </row>
    <row r="60" spans="1:14">
      <c r="A60" t="s">
        <v>66</v>
      </c>
      <c r="B60" t="s">
        <v>7</v>
      </c>
      <c r="C60">
        <v>17</v>
      </c>
      <c r="D60">
        <v>63.6</v>
      </c>
      <c r="E60">
        <v>49</v>
      </c>
      <c r="F60">
        <v>34</v>
      </c>
      <c r="G60" t="str">
        <f t="shared" si="0"/>
        <v>PASS</v>
      </c>
      <c r="H60" t="str">
        <f t="shared" si="1"/>
        <v>E</v>
      </c>
      <c r="I60" t="str">
        <f t="shared" si="2"/>
        <v>Poor</v>
      </c>
      <c r="J60">
        <f t="shared" si="3"/>
        <v>95</v>
      </c>
      <c r="K60">
        <f t="shared" si="4"/>
        <v>55.98</v>
      </c>
      <c r="L60">
        <f t="shared" si="5"/>
        <v>20</v>
      </c>
      <c r="M60">
        <f t="shared" si="6"/>
        <v>462</v>
      </c>
      <c r="N60">
        <f t="shared" si="7"/>
        <v>38</v>
      </c>
    </row>
    <row r="61" spans="1:14">
      <c r="A61" t="s">
        <v>67</v>
      </c>
      <c r="B61" t="s">
        <v>9</v>
      </c>
      <c r="C61">
        <v>16</v>
      </c>
      <c r="D61">
        <v>60.7</v>
      </c>
      <c r="E61">
        <v>89</v>
      </c>
      <c r="F61">
        <v>70</v>
      </c>
      <c r="G61" t="str">
        <f t="shared" si="0"/>
        <v>PASS</v>
      </c>
      <c r="H61" t="str">
        <f t="shared" si="1"/>
        <v>C</v>
      </c>
      <c r="I61" t="str">
        <f t="shared" si="2"/>
        <v>Good</v>
      </c>
      <c r="J61">
        <f t="shared" si="3"/>
        <v>95</v>
      </c>
      <c r="K61">
        <f t="shared" si="4"/>
        <v>55.98</v>
      </c>
      <c r="L61">
        <f t="shared" si="5"/>
        <v>20</v>
      </c>
      <c r="M61">
        <f t="shared" si="6"/>
        <v>462</v>
      </c>
      <c r="N61">
        <f t="shared" si="7"/>
        <v>38</v>
      </c>
    </row>
    <row r="62" spans="1:14">
      <c r="A62" t="s">
        <v>68</v>
      </c>
      <c r="B62" t="s">
        <v>7</v>
      </c>
      <c r="C62">
        <v>16</v>
      </c>
      <c r="D62">
        <v>71</v>
      </c>
      <c r="E62">
        <v>91</v>
      </c>
      <c r="F62">
        <v>66</v>
      </c>
      <c r="G62" t="str">
        <f t="shared" si="0"/>
        <v>PASS</v>
      </c>
      <c r="H62" t="str">
        <f t="shared" si="1"/>
        <v>C</v>
      </c>
      <c r="I62" t="str">
        <f t="shared" si="2"/>
        <v>Good</v>
      </c>
      <c r="J62">
        <f t="shared" si="3"/>
        <v>95</v>
      </c>
      <c r="K62">
        <f t="shared" si="4"/>
        <v>55.98</v>
      </c>
      <c r="L62">
        <f t="shared" si="5"/>
        <v>20</v>
      </c>
      <c r="M62">
        <f t="shared" si="6"/>
        <v>462</v>
      </c>
      <c r="N62">
        <f t="shared" si="7"/>
        <v>38</v>
      </c>
    </row>
    <row r="63" spans="1:14">
      <c r="A63" t="s">
        <v>69</v>
      </c>
      <c r="B63" t="s">
        <v>9</v>
      </c>
      <c r="C63">
        <v>17</v>
      </c>
      <c r="D63">
        <v>69.5</v>
      </c>
      <c r="E63">
        <v>58</v>
      </c>
      <c r="F63">
        <v>64</v>
      </c>
      <c r="G63" t="str">
        <f t="shared" si="0"/>
        <v>PASS</v>
      </c>
      <c r="H63" t="str">
        <f t="shared" si="1"/>
        <v>C</v>
      </c>
      <c r="I63" t="str">
        <f t="shared" si="2"/>
        <v>Good</v>
      </c>
      <c r="J63">
        <f t="shared" si="3"/>
        <v>95</v>
      </c>
      <c r="K63">
        <f t="shared" si="4"/>
        <v>55.98</v>
      </c>
      <c r="L63">
        <f t="shared" si="5"/>
        <v>20</v>
      </c>
      <c r="M63">
        <f t="shared" si="6"/>
        <v>462</v>
      </c>
      <c r="N63">
        <f t="shared" si="7"/>
        <v>38</v>
      </c>
    </row>
    <row r="64" spans="1:14">
      <c r="A64" t="s">
        <v>70</v>
      </c>
      <c r="B64" t="s">
        <v>9</v>
      </c>
      <c r="C64">
        <v>18</v>
      </c>
      <c r="D64">
        <v>69.400000000000006</v>
      </c>
      <c r="E64">
        <v>46</v>
      </c>
      <c r="F64">
        <v>37</v>
      </c>
      <c r="G64" t="str">
        <f t="shared" si="0"/>
        <v>PASS</v>
      </c>
      <c r="H64" t="str">
        <f t="shared" si="1"/>
        <v>E</v>
      </c>
      <c r="I64" t="str">
        <f t="shared" si="2"/>
        <v>Poor</v>
      </c>
      <c r="J64">
        <f t="shared" si="3"/>
        <v>95</v>
      </c>
      <c r="K64">
        <f t="shared" si="4"/>
        <v>55.98</v>
      </c>
      <c r="L64">
        <f t="shared" si="5"/>
        <v>20</v>
      </c>
      <c r="M64">
        <f t="shared" si="6"/>
        <v>462</v>
      </c>
      <c r="N64">
        <f t="shared" si="7"/>
        <v>38</v>
      </c>
    </row>
    <row r="65" spans="1:14">
      <c r="A65" t="s">
        <v>71</v>
      </c>
      <c r="B65" t="s">
        <v>7</v>
      </c>
      <c r="C65">
        <v>18</v>
      </c>
      <c r="D65">
        <v>78.2</v>
      </c>
      <c r="E65">
        <v>47</v>
      </c>
      <c r="F65">
        <v>61</v>
      </c>
      <c r="G65" t="str">
        <f t="shared" si="0"/>
        <v>PASS</v>
      </c>
      <c r="H65" t="str">
        <f t="shared" si="1"/>
        <v>C</v>
      </c>
      <c r="I65" t="str">
        <f t="shared" si="2"/>
        <v>Good</v>
      </c>
      <c r="J65">
        <f t="shared" si="3"/>
        <v>95</v>
      </c>
      <c r="K65">
        <f t="shared" si="4"/>
        <v>55.98</v>
      </c>
      <c r="L65">
        <f t="shared" si="5"/>
        <v>20</v>
      </c>
      <c r="M65">
        <f t="shared" si="6"/>
        <v>462</v>
      </c>
      <c r="N65">
        <f t="shared" si="7"/>
        <v>38</v>
      </c>
    </row>
    <row r="66" spans="1:14">
      <c r="A66" t="s">
        <v>72</v>
      </c>
      <c r="B66" t="s">
        <v>7</v>
      </c>
      <c r="C66">
        <v>15</v>
      </c>
      <c r="D66">
        <v>69</v>
      </c>
      <c r="E66">
        <v>73</v>
      </c>
      <c r="F66">
        <v>59</v>
      </c>
      <c r="G66" t="str">
        <f t="shared" ref="G66:G129" si="8">IF(F66&gt;33,"PASS","FAIL")</f>
        <v>PASS</v>
      </c>
      <c r="H66" t="str">
        <f t="shared" ref="H66:H129" si="9">IF(F66&gt;90,"A",IF(F66&gt;=80,"B",IF(F66&gt;=60,"C",IF(F66&gt;=50,"D","E"))))</f>
        <v>D</v>
      </c>
      <c r="I66" t="str">
        <f t="shared" ref="I66:I129" si="10">IF(F66&gt;=80,"Excellent",IF(F66&gt;=60,"Good",IF(F66&gt;=40,"Average","Poor")))</f>
        <v>Average</v>
      </c>
      <c r="J66">
        <f t="shared" ref="J66:J129" si="11">MAX(F:F)</f>
        <v>95</v>
      </c>
      <c r="K66">
        <f t="shared" ref="K66:K129" si="12">AVERAGE(F:F)</f>
        <v>55.98</v>
      </c>
      <c r="L66">
        <f t="shared" ref="L66:L129" si="13">MIN(F:F)</f>
        <v>20</v>
      </c>
      <c r="M66">
        <f t="shared" ref="M66:M129" si="14">COUNTIF(G:G,"pass")</f>
        <v>462</v>
      </c>
      <c r="N66">
        <f t="shared" ref="N66:N129" si="15">COUNTIF(G:G,"fail")</f>
        <v>38</v>
      </c>
    </row>
    <row r="67" spans="1:14">
      <c r="A67" t="s">
        <v>73</v>
      </c>
      <c r="B67" t="s">
        <v>9</v>
      </c>
      <c r="C67">
        <v>17</v>
      </c>
      <c r="D67">
        <v>97.6</v>
      </c>
      <c r="E67">
        <v>90</v>
      </c>
      <c r="F67">
        <v>71</v>
      </c>
      <c r="G67" t="str">
        <f t="shared" si="8"/>
        <v>PASS</v>
      </c>
      <c r="H67" t="str">
        <f t="shared" si="9"/>
        <v>C</v>
      </c>
      <c r="I67" t="str">
        <f t="shared" si="10"/>
        <v>Good</v>
      </c>
      <c r="J67">
        <f t="shared" si="11"/>
        <v>95</v>
      </c>
      <c r="K67">
        <f t="shared" si="12"/>
        <v>55.98</v>
      </c>
      <c r="L67">
        <f t="shared" si="13"/>
        <v>20</v>
      </c>
      <c r="M67">
        <f t="shared" si="14"/>
        <v>462</v>
      </c>
      <c r="N67">
        <f t="shared" si="15"/>
        <v>38</v>
      </c>
    </row>
    <row r="68" spans="1:14">
      <c r="A68" t="s">
        <v>74</v>
      </c>
      <c r="B68" t="s">
        <v>7</v>
      </c>
      <c r="C68">
        <v>17</v>
      </c>
      <c r="D68">
        <v>82.5</v>
      </c>
      <c r="E68">
        <v>55</v>
      </c>
      <c r="F68">
        <v>34</v>
      </c>
      <c r="G68" t="str">
        <f t="shared" si="8"/>
        <v>PASS</v>
      </c>
      <c r="H68" t="str">
        <f t="shared" si="9"/>
        <v>E</v>
      </c>
      <c r="I68" t="str">
        <f t="shared" si="10"/>
        <v>Poor</v>
      </c>
      <c r="J68">
        <f t="shared" si="11"/>
        <v>95</v>
      </c>
      <c r="K68">
        <f t="shared" si="12"/>
        <v>55.98</v>
      </c>
      <c r="L68">
        <f t="shared" si="13"/>
        <v>20</v>
      </c>
      <c r="M68">
        <f t="shared" si="14"/>
        <v>462</v>
      </c>
      <c r="N68">
        <f t="shared" si="15"/>
        <v>38</v>
      </c>
    </row>
    <row r="69" spans="1:14">
      <c r="A69" t="s">
        <v>75</v>
      </c>
      <c r="B69" t="s">
        <v>7</v>
      </c>
      <c r="C69">
        <v>16</v>
      </c>
      <c r="D69">
        <v>73.7</v>
      </c>
      <c r="E69">
        <v>62</v>
      </c>
      <c r="F69">
        <v>52</v>
      </c>
      <c r="G69" t="str">
        <f t="shared" si="8"/>
        <v>PASS</v>
      </c>
      <c r="H69" t="str">
        <f t="shared" si="9"/>
        <v>D</v>
      </c>
      <c r="I69" t="str">
        <f t="shared" si="10"/>
        <v>Average</v>
      </c>
      <c r="J69">
        <f t="shared" si="11"/>
        <v>95</v>
      </c>
      <c r="K69">
        <f t="shared" si="12"/>
        <v>55.98</v>
      </c>
      <c r="L69">
        <f t="shared" si="13"/>
        <v>20</v>
      </c>
      <c r="M69">
        <f t="shared" si="14"/>
        <v>462</v>
      </c>
      <c r="N69">
        <f t="shared" si="15"/>
        <v>38</v>
      </c>
    </row>
    <row r="70" spans="1:14">
      <c r="A70" t="s">
        <v>76</v>
      </c>
      <c r="B70" t="s">
        <v>9</v>
      </c>
      <c r="C70">
        <v>16</v>
      </c>
      <c r="D70">
        <v>80.400000000000006</v>
      </c>
      <c r="E70">
        <v>43</v>
      </c>
      <c r="F70">
        <v>67</v>
      </c>
      <c r="G70" t="str">
        <f t="shared" si="8"/>
        <v>PASS</v>
      </c>
      <c r="H70" t="str">
        <f t="shared" si="9"/>
        <v>C</v>
      </c>
      <c r="I70" t="str">
        <f t="shared" si="10"/>
        <v>Good</v>
      </c>
      <c r="J70">
        <f t="shared" si="11"/>
        <v>95</v>
      </c>
      <c r="K70">
        <f t="shared" si="12"/>
        <v>55.98</v>
      </c>
      <c r="L70">
        <f t="shared" si="13"/>
        <v>20</v>
      </c>
      <c r="M70">
        <f t="shared" si="14"/>
        <v>462</v>
      </c>
      <c r="N70">
        <f t="shared" si="15"/>
        <v>38</v>
      </c>
    </row>
    <row r="71" spans="1:14">
      <c r="A71" t="s">
        <v>77</v>
      </c>
      <c r="B71" t="s">
        <v>7</v>
      </c>
      <c r="C71">
        <v>17</v>
      </c>
      <c r="D71">
        <v>83.9</v>
      </c>
      <c r="E71">
        <v>39</v>
      </c>
      <c r="F71">
        <v>65</v>
      </c>
      <c r="G71" t="str">
        <f t="shared" si="8"/>
        <v>PASS</v>
      </c>
      <c r="H71" t="str">
        <f t="shared" si="9"/>
        <v>C</v>
      </c>
      <c r="I71" t="str">
        <f t="shared" si="10"/>
        <v>Good</v>
      </c>
      <c r="J71">
        <f t="shared" si="11"/>
        <v>95</v>
      </c>
      <c r="K71">
        <f t="shared" si="12"/>
        <v>55.98</v>
      </c>
      <c r="L71">
        <f t="shared" si="13"/>
        <v>20</v>
      </c>
      <c r="M71">
        <f t="shared" si="14"/>
        <v>462</v>
      </c>
      <c r="N71">
        <f t="shared" si="15"/>
        <v>38</v>
      </c>
    </row>
    <row r="72" spans="1:14">
      <c r="A72" t="s">
        <v>78</v>
      </c>
      <c r="B72" t="s">
        <v>7</v>
      </c>
      <c r="C72">
        <v>15</v>
      </c>
      <c r="D72">
        <v>88.6</v>
      </c>
      <c r="E72">
        <v>74</v>
      </c>
      <c r="F72">
        <v>79</v>
      </c>
      <c r="G72" t="str">
        <f t="shared" si="8"/>
        <v>PASS</v>
      </c>
      <c r="H72" t="str">
        <f t="shared" si="9"/>
        <v>C</v>
      </c>
      <c r="I72" t="str">
        <f t="shared" si="10"/>
        <v>Good</v>
      </c>
      <c r="J72">
        <f t="shared" si="11"/>
        <v>95</v>
      </c>
      <c r="K72">
        <f t="shared" si="12"/>
        <v>55.98</v>
      </c>
      <c r="L72">
        <f t="shared" si="13"/>
        <v>20</v>
      </c>
      <c r="M72">
        <f t="shared" si="14"/>
        <v>462</v>
      </c>
      <c r="N72">
        <f t="shared" si="15"/>
        <v>38</v>
      </c>
    </row>
    <row r="73" spans="1:14">
      <c r="A73" t="s">
        <v>79</v>
      </c>
      <c r="B73" t="s">
        <v>9</v>
      </c>
      <c r="C73">
        <v>17</v>
      </c>
      <c r="D73">
        <v>75.3</v>
      </c>
      <c r="E73">
        <v>92</v>
      </c>
      <c r="F73">
        <v>34</v>
      </c>
      <c r="G73" t="str">
        <f t="shared" si="8"/>
        <v>PASS</v>
      </c>
      <c r="H73" t="str">
        <f t="shared" si="9"/>
        <v>E</v>
      </c>
      <c r="I73" t="str">
        <f t="shared" si="10"/>
        <v>Poor</v>
      </c>
      <c r="J73">
        <f t="shared" si="11"/>
        <v>95</v>
      </c>
      <c r="K73">
        <f t="shared" si="12"/>
        <v>55.98</v>
      </c>
      <c r="L73">
        <f t="shared" si="13"/>
        <v>20</v>
      </c>
      <c r="M73">
        <f t="shared" si="14"/>
        <v>462</v>
      </c>
      <c r="N73">
        <f t="shared" si="15"/>
        <v>38</v>
      </c>
    </row>
    <row r="74" spans="1:14">
      <c r="A74" t="s">
        <v>80</v>
      </c>
      <c r="B74" t="s">
        <v>9</v>
      </c>
      <c r="C74">
        <v>17</v>
      </c>
      <c r="D74">
        <v>94.6</v>
      </c>
      <c r="E74">
        <v>52</v>
      </c>
      <c r="F74">
        <v>79</v>
      </c>
      <c r="G74" t="str">
        <f t="shared" si="8"/>
        <v>PASS</v>
      </c>
      <c r="H74" t="str">
        <f t="shared" si="9"/>
        <v>C</v>
      </c>
      <c r="I74" t="str">
        <f t="shared" si="10"/>
        <v>Good</v>
      </c>
      <c r="J74">
        <f t="shared" si="11"/>
        <v>95</v>
      </c>
      <c r="K74">
        <f t="shared" si="12"/>
        <v>55.98</v>
      </c>
      <c r="L74">
        <f t="shared" si="13"/>
        <v>20</v>
      </c>
      <c r="M74">
        <f t="shared" si="14"/>
        <v>462</v>
      </c>
      <c r="N74">
        <f t="shared" si="15"/>
        <v>38</v>
      </c>
    </row>
    <row r="75" spans="1:14">
      <c r="A75" t="s">
        <v>81</v>
      </c>
      <c r="B75" t="s">
        <v>9</v>
      </c>
      <c r="C75">
        <v>19</v>
      </c>
      <c r="D75">
        <v>96</v>
      </c>
      <c r="E75">
        <v>64</v>
      </c>
      <c r="F75">
        <v>77</v>
      </c>
      <c r="G75" t="str">
        <f t="shared" si="8"/>
        <v>PASS</v>
      </c>
      <c r="H75" t="str">
        <f t="shared" si="9"/>
        <v>C</v>
      </c>
      <c r="I75" t="str">
        <f t="shared" si="10"/>
        <v>Good</v>
      </c>
      <c r="J75">
        <f t="shared" si="11"/>
        <v>95</v>
      </c>
      <c r="K75">
        <f t="shared" si="12"/>
        <v>55.98</v>
      </c>
      <c r="L75">
        <f t="shared" si="13"/>
        <v>20</v>
      </c>
      <c r="M75">
        <f t="shared" si="14"/>
        <v>462</v>
      </c>
      <c r="N75">
        <f t="shared" si="15"/>
        <v>38</v>
      </c>
    </row>
    <row r="76" spans="1:14">
      <c r="A76" t="s">
        <v>82</v>
      </c>
      <c r="B76" t="s">
        <v>7</v>
      </c>
      <c r="C76">
        <v>15</v>
      </c>
      <c r="D76">
        <v>94.1</v>
      </c>
      <c r="E76">
        <v>73</v>
      </c>
      <c r="F76">
        <v>42</v>
      </c>
      <c r="G76" t="str">
        <f t="shared" si="8"/>
        <v>PASS</v>
      </c>
      <c r="H76" t="str">
        <f t="shared" si="9"/>
        <v>E</v>
      </c>
      <c r="I76" t="str">
        <f t="shared" si="10"/>
        <v>Average</v>
      </c>
      <c r="J76">
        <f t="shared" si="11"/>
        <v>95</v>
      </c>
      <c r="K76">
        <f t="shared" si="12"/>
        <v>55.98</v>
      </c>
      <c r="L76">
        <f t="shared" si="13"/>
        <v>20</v>
      </c>
      <c r="M76">
        <f t="shared" si="14"/>
        <v>462</v>
      </c>
      <c r="N76">
        <f t="shared" si="15"/>
        <v>38</v>
      </c>
    </row>
    <row r="77" spans="1:14">
      <c r="A77" t="s">
        <v>83</v>
      </c>
      <c r="B77" t="s">
        <v>9</v>
      </c>
      <c r="C77">
        <v>17</v>
      </c>
      <c r="D77">
        <v>74.400000000000006</v>
      </c>
      <c r="E77">
        <v>65</v>
      </c>
      <c r="F77">
        <v>49</v>
      </c>
      <c r="G77" t="str">
        <f t="shared" si="8"/>
        <v>PASS</v>
      </c>
      <c r="H77" t="str">
        <f t="shared" si="9"/>
        <v>E</v>
      </c>
      <c r="I77" t="str">
        <f t="shared" si="10"/>
        <v>Average</v>
      </c>
      <c r="J77">
        <f t="shared" si="11"/>
        <v>95</v>
      </c>
      <c r="K77">
        <f t="shared" si="12"/>
        <v>55.98</v>
      </c>
      <c r="L77">
        <f t="shared" si="13"/>
        <v>20</v>
      </c>
      <c r="M77">
        <f t="shared" si="14"/>
        <v>462</v>
      </c>
      <c r="N77">
        <f t="shared" si="15"/>
        <v>38</v>
      </c>
    </row>
    <row r="78" spans="1:14">
      <c r="A78" t="s">
        <v>84</v>
      </c>
      <c r="B78" t="s">
        <v>9</v>
      </c>
      <c r="C78">
        <v>19</v>
      </c>
      <c r="D78">
        <v>75.8</v>
      </c>
      <c r="E78">
        <v>82</v>
      </c>
      <c r="F78">
        <v>42</v>
      </c>
      <c r="G78" t="str">
        <f t="shared" si="8"/>
        <v>PASS</v>
      </c>
      <c r="H78" t="str">
        <f t="shared" si="9"/>
        <v>E</v>
      </c>
      <c r="I78" t="str">
        <f t="shared" si="10"/>
        <v>Average</v>
      </c>
      <c r="J78">
        <f t="shared" si="11"/>
        <v>95</v>
      </c>
      <c r="K78">
        <f t="shared" si="12"/>
        <v>55.98</v>
      </c>
      <c r="L78">
        <f t="shared" si="13"/>
        <v>20</v>
      </c>
      <c r="M78">
        <f t="shared" si="14"/>
        <v>462</v>
      </c>
      <c r="N78">
        <f t="shared" si="15"/>
        <v>38</v>
      </c>
    </row>
    <row r="79" spans="1:14">
      <c r="A79" t="s">
        <v>85</v>
      </c>
      <c r="B79" t="s">
        <v>7</v>
      </c>
      <c r="C79">
        <v>18</v>
      </c>
      <c r="D79">
        <v>85.6</v>
      </c>
      <c r="E79">
        <v>67</v>
      </c>
      <c r="F79">
        <v>64</v>
      </c>
      <c r="G79" t="str">
        <f t="shared" si="8"/>
        <v>PASS</v>
      </c>
      <c r="H79" t="str">
        <f t="shared" si="9"/>
        <v>C</v>
      </c>
      <c r="I79" t="str">
        <f t="shared" si="10"/>
        <v>Good</v>
      </c>
      <c r="J79">
        <f t="shared" si="11"/>
        <v>95</v>
      </c>
      <c r="K79">
        <f t="shared" si="12"/>
        <v>55.98</v>
      </c>
      <c r="L79">
        <f t="shared" si="13"/>
        <v>20</v>
      </c>
      <c r="M79">
        <f t="shared" si="14"/>
        <v>462</v>
      </c>
      <c r="N79">
        <f t="shared" si="15"/>
        <v>38</v>
      </c>
    </row>
    <row r="80" spans="1:14">
      <c r="A80" t="s">
        <v>86</v>
      </c>
      <c r="B80" t="s">
        <v>9</v>
      </c>
      <c r="C80">
        <v>16</v>
      </c>
      <c r="D80">
        <v>83.2</v>
      </c>
      <c r="E80">
        <v>84</v>
      </c>
      <c r="F80">
        <v>66</v>
      </c>
      <c r="G80" t="str">
        <f t="shared" si="8"/>
        <v>PASS</v>
      </c>
      <c r="H80" t="str">
        <f t="shared" si="9"/>
        <v>C</v>
      </c>
      <c r="I80" t="str">
        <f t="shared" si="10"/>
        <v>Good</v>
      </c>
      <c r="J80">
        <f t="shared" si="11"/>
        <v>95</v>
      </c>
      <c r="K80">
        <f t="shared" si="12"/>
        <v>55.98</v>
      </c>
      <c r="L80">
        <f t="shared" si="13"/>
        <v>20</v>
      </c>
      <c r="M80">
        <f t="shared" si="14"/>
        <v>462</v>
      </c>
      <c r="N80">
        <f t="shared" si="15"/>
        <v>38</v>
      </c>
    </row>
    <row r="81" spans="1:14">
      <c r="A81" t="s">
        <v>87</v>
      </c>
      <c r="B81" t="s">
        <v>9</v>
      </c>
      <c r="C81">
        <v>17</v>
      </c>
      <c r="D81">
        <v>72.7</v>
      </c>
      <c r="E81">
        <v>45</v>
      </c>
      <c r="F81">
        <v>74</v>
      </c>
      <c r="G81" t="str">
        <f t="shared" si="8"/>
        <v>PASS</v>
      </c>
      <c r="H81" t="str">
        <f t="shared" si="9"/>
        <v>C</v>
      </c>
      <c r="I81" t="str">
        <f t="shared" si="10"/>
        <v>Good</v>
      </c>
      <c r="J81">
        <f t="shared" si="11"/>
        <v>95</v>
      </c>
      <c r="K81">
        <f t="shared" si="12"/>
        <v>55.98</v>
      </c>
      <c r="L81">
        <f t="shared" si="13"/>
        <v>20</v>
      </c>
      <c r="M81">
        <f t="shared" si="14"/>
        <v>462</v>
      </c>
      <c r="N81">
        <f t="shared" si="15"/>
        <v>38</v>
      </c>
    </row>
    <row r="82" spans="1:14">
      <c r="A82" t="s">
        <v>88</v>
      </c>
      <c r="B82" t="s">
        <v>7</v>
      </c>
      <c r="C82">
        <v>17</v>
      </c>
      <c r="D82">
        <v>87.1</v>
      </c>
      <c r="E82">
        <v>91</v>
      </c>
      <c r="F82">
        <v>44</v>
      </c>
      <c r="G82" t="str">
        <f t="shared" si="8"/>
        <v>PASS</v>
      </c>
      <c r="H82" t="str">
        <f t="shared" si="9"/>
        <v>E</v>
      </c>
      <c r="I82" t="str">
        <f t="shared" si="10"/>
        <v>Average</v>
      </c>
      <c r="J82">
        <f t="shared" si="11"/>
        <v>95</v>
      </c>
      <c r="K82">
        <f t="shared" si="12"/>
        <v>55.98</v>
      </c>
      <c r="L82">
        <f t="shared" si="13"/>
        <v>20</v>
      </c>
      <c r="M82">
        <f t="shared" si="14"/>
        <v>462</v>
      </c>
      <c r="N82">
        <f t="shared" si="15"/>
        <v>38</v>
      </c>
    </row>
    <row r="83" spans="1:14">
      <c r="A83" t="s">
        <v>89</v>
      </c>
      <c r="B83" t="s">
        <v>9</v>
      </c>
      <c r="C83">
        <v>15</v>
      </c>
      <c r="D83">
        <v>59.7</v>
      </c>
      <c r="E83">
        <v>68</v>
      </c>
      <c r="F83">
        <v>58</v>
      </c>
      <c r="G83" t="str">
        <f t="shared" si="8"/>
        <v>PASS</v>
      </c>
      <c r="H83" t="str">
        <f t="shared" si="9"/>
        <v>D</v>
      </c>
      <c r="I83" t="str">
        <f t="shared" si="10"/>
        <v>Average</v>
      </c>
      <c r="J83">
        <f t="shared" si="11"/>
        <v>95</v>
      </c>
      <c r="K83">
        <f t="shared" si="12"/>
        <v>55.98</v>
      </c>
      <c r="L83">
        <f t="shared" si="13"/>
        <v>20</v>
      </c>
      <c r="M83">
        <f t="shared" si="14"/>
        <v>462</v>
      </c>
      <c r="N83">
        <f t="shared" si="15"/>
        <v>38</v>
      </c>
    </row>
    <row r="84" spans="1:14">
      <c r="A84" t="s">
        <v>90</v>
      </c>
      <c r="B84" t="s">
        <v>7</v>
      </c>
      <c r="C84">
        <v>17</v>
      </c>
      <c r="D84">
        <v>98.7</v>
      </c>
      <c r="E84">
        <v>92</v>
      </c>
      <c r="F84">
        <v>40</v>
      </c>
      <c r="G84" t="str">
        <f t="shared" si="8"/>
        <v>PASS</v>
      </c>
      <c r="H84" t="str">
        <f t="shared" si="9"/>
        <v>E</v>
      </c>
      <c r="I84" t="str">
        <f t="shared" si="10"/>
        <v>Average</v>
      </c>
      <c r="J84">
        <f t="shared" si="11"/>
        <v>95</v>
      </c>
      <c r="K84">
        <f t="shared" si="12"/>
        <v>55.98</v>
      </c>
      <c r="L84">
        <f t="shared" si="13"/>
        <v>20</v>
      </c>
      <c r="M84">
        <f t="shared" si="14"/>
        <v>462</v>
      </c>
      <c r="N84">
        <f t="shared" si="15"/>
        <v>38</v>
      </c>
    </row>
    <row r="85" spans="1:14">
      <c r="A85" t="s">
        <v>91</v>
      </c>
      <c r="B85" t="s">
        <v>7</v>
      </c>
      <c r="C85">
        <v>19</v>
      </c>
      <c r="D85">
        <v>73.5</v>
      </c>
      <c r="E85">
        <v>36</v>
      </c>
      <c r="F85">
        <v>38</v>
      </c>
      <c r="G85" t="str">
        <f t="shared" si="8"/>
        <v>PASS</v>
      </c>
      <c r="H85" t="str">
        <f t="shared" si="9"/>
        <v>E</v>
      </c>
      <c r="I85" t="str">
        <f t="shared" si="10"/>
        <v>Poor</v>
      </c>
      <c r="J85">
        <f t="shared" si="11"/>
        <v>95</v>
      </c>
      <c r="K85">
        <f t="shared" si="12"/>
        <v>55.98</v>
      </c>
      <c r="L85">
        <f t="shared" si="13"/>
        <v>20</v>
      </c>
      <c r="M85">
        <f t="shared" si="14"/>
        <v>462</v>
      </c>
      <c r="N85">
        <f t="shared" si="15"/>
        <v>38</v>
      </c>
    </row>
    <row r="86" spans="1:14">
      <c r="A86" t="s">
        <v>92</v>
      </c>
      <c r="B86" t="s">
        <v>9</v>
      </c>
      <c r="C86">
        <v>15</v>
      </c>
      <c r="D86">
        <v>53.3</v>
      </c>
      <c r="E86">
        <v>49</v>
      </c>
      <c r="F86">
        <v>56</v>
      </c>
      <c r="G86" t="str">
        <f t="shared" si="8"/>
        <v>PASS</v>
      </c>
      <c r="H86" t="str">
        <f t="shared" si="9"/>
        <v>D</v>
      </c>
      <c r="I86" t="str">
        <f t="shared" si="10"/>
        <v>Average</v>
      </c>
      <c r="J86">
        <f t="shared" si="11"/>
        <v>95</v>
      </c>
      <c r="K86">
        <f t="shared" si="12"/>
        <v>55.98</v>
      </c>
      <c r="L86">
        <f t="shared" si="13"/>
        <v>20</v>
      </c>
      <c r="M86">
        <f t="shared" si="14"/>
        <v>462</v>
      </c>
      <c r="N86">
        <f t="shared" si="15"/>
        <v>38</v>
      </c>
    </row>
    <row r="87" spans="1:14">
      <c r="A87" t="s">
        <v>93</v>
      </c>
      <c r="B87" t="s">
        <v>9</v>
      </c>
      <c r="C87">
        <v>15</v>
      </c>
      <c r="D87">
        <v>55.9</v>
      </c>
      <c r="E87">
        <v>87</v>
      </c>
      <c r="F87">
        <v>46</v>
      </c>
      <c r="G87" t="str">
        <f t="shared" si="8"/>
        <v>PASS</v>
      </c>
      <c r="H87" t="str">
        <f t="shared" si="9"/>
        <v>E</v>
      </c>
      <c r="I87" t="str">
        <f t="shared" si="10"/>
        <v>Average</v>
      </c>
      <c r="J87">
        <f t="shared" si="11"/>
        <v>95</v>
      </c>
      <c r="K87">
        <f t="shared" si="12"/>
        <v>55.98</v>
      </c>
      <c r="L87">
        <f t="shared" si="13"/>
        <v>20</v>
      </c>
      <c r="M87">
        <f t="shared" si="14"/>
        <v>462</v>
      </c>
      <c r="N87">
        <f t="shared" si="15"/>
        <v>38</v>
      </c>
    </row>
    <row r="88" spans="1:14">
      <c r="A88" t="s">
        <v>94</v>
      </c>
      <c r="B88" t="s">
        <v>9</v>
      </c>
      <c r="C88">
        <v>19</v>
      </c>
      <c r="D88">
        <v>65.3</v>
      </c>
      <c r="E88">
        <v>56</v>
      </c>
      <c r="F88">
        <v>58</v>
      </c>
      <c r="G88" t="str">
        <f t="shared" si="8"/>
        <v>PASS</v>
      </c>
      <c r="H88" t="str">
        <f t="shared" si="9"/>
        <v>D</v>
      </c>
      <c r="I88" t="str">
        <f t="shared" si="10"/>
        <v>Average</v>
      </c>
      <c r="J88">
        <f t="shared" si="11"/>
        <v>95</v>
      </c>
      <c r="K88">
        <f t="shared" si="12"/>
        <v>55.98</v>
      </c>
      <c r="L88">
        <f t="shared" si="13"/>
        <v>20</v>
      </c>
      <c r="M88">
        <f t="shared" si="14"/>
        <v>462</v>
      </c>
      <c r="N88">
        <f t="shared" si="15"/>
        <v>38</v>
      </c>
    </row>
    <row r="89" spans="1:14">
      <c r="A89" t="s">
        <v>95</v>
      </c>
      <c r="B89" t="s">
        <v>7</v>
      </c>
      <c r="C89">
        <v>17</v>
      </c>
      <c r="D89">
        <v>54.1</v>
      </c>
      <c r="E89">
        <v>50</v>
      </c>
      <c r="F89">
        <v>45</v>
      </c>
      <c r="G89" t="str">
        <f t="shared" si="8"/>
        <v>PASS</v>
      </c>
      <c r="H89" t="str">
        <f t="shared" si="9"/>
        <v>E</v>
      </c>
      <c r="I89" t="str">
        <f t="shared" si="10"/>
        <v>Average</v>
      </c>
      <c r="J89">
        <f t="shared" si="11"/>
        <v>95</v>
      </c>
      <c r="K89">
        <f t="shared" si="12"/>
        <v>55.98</v>
      </c>
      <c r="L89">
        <f t="shared" si="13"/>
        <v>20</v>
      </c>
      <c r="M89">
        <f t="shared" si="14"/>
        <v>462</v>
      </c>
      <c r="N89">
        <f t="shared" si="15"/>
        <v>38</v>
      </c>
    </row>
    <row r="90" spans="1:14">
      <c r="A90" t="s">
        <v>96</v>
      </c>
      <c r="B90" t="s">
        <v>9</v>
      </c>
      <c r="C90">
        <v>18</v>
      </c>
      <c r="D90">
        <v>79.7</v>
      </c>
      <c r="E90">
        <v>66</v>
      </c>
      <c r="F90">
        <v>80</v>
      </c>
      <c r="G90" t="str">
        <f t="shared" si="8"/>
        <v>PASS</v>
      </c>
      <c r="H90" t="str">
        <f t="shared" si="9"/>
        <v>B</v>
      </c>
      <c r="I90" t="str">
        <f t="shared" si="10"/>
        <v>Excellent</v>
      </c>
      <c r="J90">
        <f t="shared" si="11"/>
        <v>95</v>
      </c>
      <c r="K90">
        <f t="shared" si="12"/>
        <v>55.98</v>
      </c>
      <c r="L90">
        <f t="shared" si="13"/>
        <v>20</v>
      </c>
      <c r="M90">
        <f t="shared" si="14"/>
        <v>462</v>
      </c>
      <c r="N90">
        <f t="shared" si="15"/>
        <v>38</v>
      </c>
    </row>
    <row r="91" spans="1:14">
      <c r="A91" t="s">
        <v>97</v>
      </c>
      <c r="B91" t="s">
        <v>9</v>
      </c>
      <c r="C91">
        <v>18</v>
      </c>
      <c r="D91">
        <v>84.4</v>
      </c>
      <c r="E91">
        <v>44</v>
      </c>
      <c r="F91">
        <v>42</v>
      </c>
      <c r="G91" t="str">
        <f t="shared" si="8"/>
        <v>PASS</v>
      </c>
      <c r="H91" t="str">
        <f t="shared" si="9"/>
        <v>E</v>
      </c>
      <c r="I91" t="str">
        <f t="shared" si="10"/>
        <v>Average</v>
      </c>
      <c r="J91">
        <f t="shared" si="11"/>
        <v>95</v>
      </c>
      <c r="K91">
        <f t="shared" si="12"/>
        <v>55.98</v>
      </c>
      <c r="L91">
        <f t="shared" si="13"/>
        <v>20</v>
      </c>
      <c r="M91">
        <f t="shared" si="14"/>
        <v>462</v>
      </c>
      <c r="N91">
        <f t="shared" si="15"/>
        <v>38</v>
      </c>
    </row>
    <row r="92" spans="1:14">
      <c r="A92" t="s">
        <v>98</v>
      </c>
      <c r="B92" t="s">
        <v>7</v>
      </c>
      <c r="C92">
        <v>16</v>
      </c>
      <c r="D92">
        <v>91.3</v>
      </c>
      <c r="E92">
        <v>69</v>
      </c>
      <c r="F92">
        <v>60</v>
      </c>
      <c r="G92" t="str">
        <f t="shared" si="8"/>
        <v>PASS</v>
      </c>
      <c r="H92" t="str">
        <f t="shared" si="9"/>
        <v>C</v>
      </c>
      <c r="I92" t="str">
        <f t="shared" si="10"/>
        <v>Good</v>
      </c>
      <c r="J92">
        <f t="shared" si="11"/>
        <v>95</v>
      </c>
      <c r="K92">
        <f t="shared" si="12"/>
        <v>55.98</v>
      </c>
      <c r="L92">
        <f t="shared" si="13"/>
        <v>20</v>
      </c>
      <c r="M92">
        <f t="shared" si="14"/>
        <v>462</v>
      </c>
      <c r="N92">
        <f t="shared" si="15"/>
        <v>38</v>
      </c>
    </row>
    <row r="93" spans="1:14">
      <c r="A93" t="s">
        <v>99</v>
      </c>
      <c r="B93" t="s">
        <v>9</v>
      </c>
      <c r="C93">
        <v>18</v>
      </c>
      <c r="D93">
        <v>73.400000000000006</v>
      </c>
      <c r="E93">
        <v>94</v>
      </c>
      <c r="F93">
        <v>50</v>
      </c>
      <c r="G93" t="str">
        <f t="shared" si="8"/>
        <v>PASS</v>
      </c>
      <c r="H93" t="str">
        <f t="shared" si="9"/>
        <v>D</v>
      </c>
      <c r="I93" t="str">
        <f t="shared" si="10"/>
        <v>Average</v>
      </c>
      <c r="J93">
        <f t="shared" si="11"/>
        <v>95</v>
      </c>
      <c r="K93">
        <f t="shared" si="12"/>
        <v>55.98</v>
      </c>
      <c r="L93">
        <f t="shared" si="13"/>
        <v>20</v>
      </c>
      <c r="M93">
        <f t="shared" si="14"/>
        <v>462</v>
      </c>
      <c r="N93">
        <f t="shared" si="15"/>
        <v>38</v>
      </c>
    </row>
    <row r="94" spans="1:14">
      <c r="A94" t="s">
        <v>100</v>
      </c>
      <c r="B94" t="s">
        <v>9</v>
      </c>
      <c r="C94">
        <v>18</v>
      </c>
      <c r="D94">
        <v>79.900000000000006</v>
      </c>
      <c r="E94">
        <v>33</v>
      </c>
      <c r="F94">
        <v>23</v>
      </c>
      <c r="G94" t="str">
        <f t="shared" si="8"/>
        <v>FAIL</v>
      </c>
      <c r="H94" t="str">
        <f t="shared" si="9"/>
        <v>E</v>
      </c>
      <c r="I94" t="str">
        <f t="shared" si="10"/>
        <v>Poor</v>
      </c>
      <c r="J94">
        <f t="shared" si="11"/>
        <v>95</v>
      </c>
      <c r="K94">
        <f t="shared" si="12"/>
        <v>55.98</v>
      </c>
      <c r="L94">
        <f t="shared" si="13"/>
        <v>20</v>
      </c>
      <c r="M94">
        <f t="shared" si="14"/>
        <v>462</v>
      </c>
      <c r="N94">
        <f t="shared" si="15"/>
        <v>38</v>
      </c>
    </row>
    <row r="95" spans="1:14">
      <c r="A95" t="s">
        <v>101</v>
      </c>
      <c r="B95" t="s">
        <v>7</v>
      </c>
      <c r="C95">
        <v>19</v>
      </c>
      <c r="D95">
        <v>97.5</v>
      </c>
      <c r="E95">
        <v>90</v>
      </c>
      <c r="F95">
        <v>78</v>
      </c>
      <c r="G95" t="str">
        <f t="shared" si="8"/>
        <v>PASS</v>
      </c>
      <c r="H95" t="str">
        <f t="shared" si="9"/>
        <v>C</v>
      </c>
      <c r="I95" t="str">
        <f t="shared" si="10"/>
        <v>Good</v>
      </c>
      <c r="J95">
        <f t="shared" si="11"/>
        <v>95</v>
      </c>
      <c r="K95">
        <f t="shared" si="12"/>
        <v>55.98</v>
      </c>
      <c r="L95">
        <f t="shared" si="13"/>
        <v>20</v>
      </c>
      <c r="M95">
        <f t="shared" si="14"/>
        <v>462</v>
      </c>
      <c r="N95">
        <f t="shared" si="15"/>
        <v>38</v>
      </c>
    </row>
    <row r="96" spans="1:14">
      <c r="A96" t="s">
        <v>102</v>
      </c>
      <c r="B96" t="s">
        <v>9</v>
      </c>
      <c r="C96">
        <v>17</v>
      </c>
      <c r="D96">
        <v>99.8</v>
      </c>
      <c r="E96">
        <v>90</v>
      </c>
      <c r="F96">
        <v>54</v>
      </c>
      <c r="G96" t="str">
        <f t="shared" si="8"/>
        <v>PASS</v>
      </c>
      <c r="H96" t="str">
        <f t="shared" si="9"/>
        <v>D</v>
      </c>
      <c r="I96" t="str">
        <f t="shared" si="10"/>
        <v>Average</v>
      </c>
      <c r="J96">
        <f t="shared" si="11"/>
        <v>95</v>
      </c>
      <c r="K96">
        <f t="shared" si="12"/>
        <v>55.98</v>
      </c>
      <c r="L96">
        <f t="shared" si="13"/>
        <v>20</v>
      </c>
      <c r="M96">
        <f t="shared" si="14"/>
        <v>462</v>
      </c>
      <c r="N96">
        <f t="shared" si="15"/>
        <v>38</v>
      </c>
    </row>
    <row r="97" spans="1:14">
      <c r="A97" t="s">
        <v>103</v>
      </c>
      <c r="B97" t="s">
        <v>9</v>
      </c>
      <c r="C97">
        <v>17</v>
      </c>
      <c r="D97">
        <v>83.5</v>
      </c>
      <c r="E97">
        <v>93</v>
      </c>
      <c r="F97">
        <v>55</v>
      </c>
      <c r="G97" t="str">
        <f t="shared" si="8"/>
        <v>PASS</v>
      </c>
      <c r="H97" t="str">
        <f t="shared" si="9"/>
        <v>D</v>
      </c>
      <c r="I97" t="str">
        <f t="shared" si="10"/>
        <v>Average</v>
      </c>
      <c r="J97">
        <f t="shared" si="11"/>
        <v>95</v>
      </c>
      <c r="K97">
        <f t="shared" si="12"/>
        <v>55.98</v>
      </c>
      <c r="L97">
        <f t="shared" si="13"/>
        <v>20</v>
      </c>
      <c r="M97">
        <f t="shared" si="14"/>
        <v>462</v>
      </c>
      <c r="N97">
        <f t="shared" si="15"/>
        <v>38</v>
      </c>
    </row>
    <row r="98" spans="1:14">
      <c r="A98" t="s">
        <v>104</v>
      </c>
      <c r="B98" t="s">
        <v>9</v>
      </c>
      <c r="C98">
        <v>19</v>
      </c>
      <c r="D98">
        <v>72.7</v>
      </c>
      <c r="E98">
        <v>44</v>
      </c>
      <c r="F98">
        <v>44</v>
      </c>
      <c r="G98" t="str">
        <f t="shared" si="8"/>
        <v>PASS</v>
      </c>
      <c r="H98" t="str">
        <f t="shared" si="9"/>
        <v>E</v>
      </c>
      <c r="I98" t="str">
        <f t="shared" si="10"/>
        <v>Average</v>
      </c>
      <c r="J98">
        <f t="shared" si="11"/>
        <v>95</v>
      </c>
      <c r="K98">
        <f t="shared" si="12"/>
        <v>55.98</v>
      </c>
      <c r="L98">
        <f t="shared" si="13"/>
        <v>20</v>
      </c>
      <c r="M98">
        <f t="shared" si="14"/>
        <v>462</v>
      </c>
      <c r="N98">
        <f t="shared" si="15"/>
        <v>38</v>
      </c>
    </row>
    <row r="99" spans="1:14">
      <c r="A99" t="s">
        <v>105</v>
      </c>
      <c r="B99" t="s">
        <v>9</v>
      </c>
      <c r="C99">
        <v>19</v>
      </c>
      <c r="D99">
        <v>99.4</v>
      </c>
      <c r="E99">
        <v>36</v>
      </c>
      <c r="F99">
        <v>70</v>
      </c>
      <c r="G99" t="str">
        <f t="shared" si="8"/>
        <v>PASS</v>
      </c>
      <c r="H99" t="str">
        <f t="shared" si="9"/>
        <v>C</v>
      </c>
      <c r="I99" t="str">
        <f t="shared" si="10"/>
        <v>Good</v>
      </c>
      <c r="J99">
        <f t="shared" si="11"/>
        <v>95</v>
      </c>
      <c r="K99">
        <f t="shared" si="12"/>
        <v>55.98</v>
      </c>
      <c r="L99">
        <f t="shared" si="13"/>
        <v>20</v>
      </c>
      <c r="M99">
        <f t="shared" si="14"/>
        <v>462</v>
      </c>
      <c r="N99">
        <f t="shared" si="15"/>
        <v>38</v>
      </c>
    </row>
    <row r="100" spans="1:14">
      <c r="A100" t="s">
        <v>106</v>
      </c>
      <c r="B100" t="s">
        <v>9</v>
      </c>
      <c r="C100">
        <v>19</v>
      </c>
      <c r="D100">
        <v>74.900000000000006</v>
      </c>
      <c r="E100">
        <v>64</v>
      </c>
      <c r="F100">
        <v>76</v>
      </c>
      <c r="G100" t="str">
        <f t="shared" si="8"/>
        <v>PASS</v>
      </c>
      <c r="H100" t="str">
        <f t="shared" si="9"/>
        <v>C</v>
      </c>
      <c r="I100" t="str">
        <f t="shared" si="10"/>
        <v>Good</v>
      </c>
      <c r="J100">
        <f t="shared" si="11"/>
        <v>95</v>
      </c>
      <c r="K100">
        <f t="shared" si="12"/>
        <v>55.98</v>
      </c>
      <c r="L100">
        <f t="shared" si="13"/>
        <v>20</v>
      </c>
      <c r="M100">
        <f t="shared" si="14"/>
        <v>462</v>
      </c>
      <c r="N100">
        <f t="shared" si="15"/>
        <v>38</v>
      </c>
    </row>
    <row r="101" spans="1:14">
      <c r="A101" t="s">
        <v>107</v>
      </c>
      <c r="B101" t="s">
        <v>7</v>
      </c>
      <c r="C101">
        <v>17</v>
      </c>
      <c r="D101">
        <v>94</v>
      </c>
      <c r="E101">
        <v>60</v>
      </c>
      <c r="F101">
        <v>71</v>
      </c>
      <c r="G101" t="str">
        <f t="shared" si="8"/>
        <v>PASS</v>
      </c>
      <c r="H101" t="str">
        <f t="shared" si="9"/>
        <v>C</v>
      </c>
      <c r="I101" t="str">
        <f t="shared" si="10"/>
        <v>Good</v>
      </c>
      <c r="J101">
        <f t="shared" si="11"/>
        <v>95</v>
      </c>
      <c r="K101">
        <f t="shared" si="12"/>
        <v>55.98</v>
      </c>
      <c r="L101">
        <f t="shared" si="13"/>
        <v>20</v>
      </c>
      <c r="M101">
        <f t="shared" si="14"/>
        <v>462</v>
      </c>
      <c r="N101">
        <f t="shared" si="15"/>
        <v>38</v>
      </c>
    </row>
    <row r="102" spans="1:14">
      <c r="A102" t="s">
        <v>108</v>
      </c>
      <c r="B102" t="s">
        <v>7</v>
      </c>
      <c r="C102">
        <v>17</v>
      </c>
      <c r="D102">
        <v>50.7</v>
      </c>
      <c r="E102">
        <v>44</v>
      </c>
      <c r="F102">
        <v>51</v>
      </c>
      <c r="G102" t="str">
        <f t="shared" si="8"/>
        <v>PASS</v>
      </c>
      <c r="H102" t="str">
        <f t="shared" si="9"/>
        <v>D</v>
      </c>
      <c r="I102" t="str">
        <f t="shared" si="10"/>
        <v>Average</v>
      </c>
      <c r="J102">
        <f t="shared" si="11"/>
        <v>95</v>
      </c>
      <c r="K102">
        <f t="shared" si="12"/>
        <v>55.98</v>
      </c>
      <c r="L102">
        <f t="shared" si="13"/>
        <v>20</v>
      </c>
      <c r="M102">
        <f t="shared" si="14"/>
        <v>462</v>
      </c>
      <c r="N102">
        <f t="shared" si="15"/>
        <v>38</v>
      </c>
    </row>
    <row r="103" spans="1:14">
      <c r="A103" t="s">
        <v>109</v>
      </c>
      <c r="B103" t="s">
        <v>7</v>
      </c>
      <c r="C103">
        <v>16</v>
      </c>
      <c r="D103">
        <v>96.6</v>
      </c>
      <c r="E103">
        <v>91</v>
      </c>
      <c r="F103">
        <v>72</v>
      </c>
      <c r="G103" t="str">
        <f t="shared" si="8"/>
        <v>PASS</v>
      </c>
      <c r="H103" t="str">
        <f t="shared" si="9"/>
        <v>C</v>
      </c>
      <c r="I103" t="str">
        <f t="shared" si="10"/>
        <v>Good</v>
      </c>
      <c r="J103">
        <f t="shared" si="11"/>
        <v>95</v>
      </c>
      <c r="K103">
        <f t="shared" si="12"/>
        <v>55.98</v>
      </c>
      <c r="L103">
        <f t="shared" si="13"/>
        <v>20</v>
      </c>
      <c r="M103">
        <f t="shared" si="14"/>
        <v>462</v>
      </c>
      <c r="N103">
        <f t="shared" si="15"/>
        <v>38</v>
      </c>
    </row>
    <row r="104" spans="1:14">
      <c r="A104" t="s">
        <v>110</v>
      </c>
      <c r="B104" t="s">
        <v>7</v>
      </c>
      <c r="C104">
        <v>18</v>
      </c>
      <c r="D104">
        <v>57.2</v>
      </c>
      <c r="E104">
        <v>65</v>
      </c>
      <c r="F104">
        <v>67</v>
      </c>
      <c r="G104" t="str">
        <f t="shared" si="8"/>
        <v>PASS</v>
      </c>
      <c r="H104" t="str">
        <f t="shared" si="9"/>
        <v>C</v>
      </c>
      <c r="I104" t="str">
        <f t="shared" si="10"/>
        <v>Good</v>
      </c>
      <c r="J104">
        <f t="shared" si="11"/>
        <v>95</v>
      </c>
      <c r="K104">
        <f t="shared" si="12"/>
        <v>55.98</v>
      </c>
      <c r="L104">
        <f t="shared" si="13"/>
        <v>20</v>
      </c>
      <c r="M104">
        <f t="shared" si="14"/>
        <v>462</v>
      </c>
      <c r="N104">
        <f t="shared" si="15"/>
        <v>38</v>
      </c>
    </row>
    <row r="105" spans="1:14">
      <c r="A105" t="s">
        <v>111</v>
      </c>
      <c r="B105" t="s">
        <v>9</v>
      </c>
      <c r="C105">
        <v>17</v>
      </c>
      <c r="D105">
        <v>75.400000000000006</v>
      </c>
      <c r="E105">
        <v>92</v>
      </c>
      <c r="F105">
        <v>70</v>
      </c>
      <c r="G105" t="str">
        <f t="shared" si="8"/>
        <v>PASS</v>
      </c>
      <c r="H105" t="str">
        <f t="shared" si="9"/>
        <v>C</v>
      </c>
      <c r="I105" t="str">
        <f t="shared" si="10"/>
        <v>Good</v>
      </c>
      <c r="J105">
        <f t="shared" si="11"/>
        <v>95</v>
      </c>
      <c r="K105">
        <f t="shared" si="12"/>
        <v>55.98</v>
      </c>
      <c r="L105">
        <f t="shared" si="13"/>
        <v>20</v>
      </c>
      <c r="M105">
        <f t="shared" si="14"/>
        <v>462</v>
      </c>
      <c r="N105">
        <f t="shared" si="15"/>
        <v>38</v>
      </c>
    </row>
    <row r="106" spans="1:14">
      <c r="A106" t="s">
        <v>112</v>
      </c>
      <c r="B106" t="s">
        <v>9</v>
      </c>
      <c r="C106">
        <v>19</v>
      </c>
      <c r="D106">
        <v>67.3</v>
      </c>
      <c r="E106">
        <v>71</v>
      </c>
      <c r="F106">
        <v>50</v>
      </c>
      <c r="G106" t="str">
        <f t="shared" si="8"/>
        <v>PASS</v>
      </c>
      <c r="H106" t="str">
        <f t="shared" si="9"/>
        <v>D</v>
      </c>
      <c r="I106" t="str">
        <f t="shared" si="10"/>
        <v>Average</v>
      </c>
      <c r="J106">
        <f t="shared" si="11"/>
        <v>95</v>
      </c>
      <c r="K106">
        <f t="shared" si="12"/>
        <v>55.98</v>
      </c>
      <c r="L106">
        <f t="shared" si="13"/>
        <v>20</v>
      </c>
      <c r="M106">
        <f t="shared" si="14"/>
        <v>462</v>
      </c>
      <c r="N106">
        <f t="shared" si="15"/>
        <v>38</v>
      </c>
    </row>
    <row r="107" spans="1:14">
      <c r="A107" t="s">
        <v>113</v>
      </c>
      <c r="B107" t="s">
        <v>7</v>
      </c>
      <c r="C107">
        <v>19</v>
      </c>
      <c r="D107">
        <v>61.7</v>
      </c>
      <c r="E107">
        <v>90</v>
      </c>
      <c r="F107">
        <v>64</v>
      </c>
      <c r="G107" t="str">
        <f t="shared" si="8"/>
        <v>PASS</v>
      </c>
      <c r="H107" t="str">
        <f t="shared" si="9"/>
        <v>C</v>
      </c>
      <c r="I107" t="str">
        <f t="shared" si="10"/>
        <v>Good</v>
      </c>
      <c r="J107">
        <f t="shared" si="11"/>
        <v>95</v>
      </c>
      <c r="K107">
        <f t="shared" si="12"/>
        <v>55.98</v>
      </c>
      <c r="L107">
        <f t="shared" si="13"/>
        <v>20</v>
      </c>
      <c r="M107">
        <f t="shared" si="14"/>
        <v>462</v>
      </c>
      <c r="N107">
        <f t="shared" si="15"/>
        <v>38</v>
      </c>
    </row>
    <row r="108" spans="1:14">
      <c r="A108" t="s">
        <v>114</v>
      </c>
      <c r="B108" t="s">
        <v>9</v>
      </c>
      <c r="C108">
        <v>18</v>
      </c>
      <c r="D108">
        <v>89.6</v>
      </c>
      <c r="E108">
        <v>46</v>
      </c>
      <c r="F108">
        <v>71</v>
      </c>
      <c r="G108" t="str">
        <f t="shared" si="8"/>
        <v>PASS</v>
      </c>
      <c r="H108" t="str">
        <f t="shared" si="9"/>
        <v>C</v>
      </c>
      <c r="I108" t="str">
        <f t="shared" si="10"/>
        <v>Good</v>
      </c>
      <c r="J108">
        <f t="shared" si="11"/>
        <v>95</v>
      </c>
      <c r="K108">
        <f t="shared" si="12"/>
        <v>55.98</v>
      </c>
      <c r="L108">
        <f t="shared" si="13"/>
        <v>20</v>
      </c>
      <c r="M108">
        <f t="shared" si="14"/>
        <v>462</v>
      </c>
      <c r="N108">
        <f t="shared" si="15"/>
        <v>38</v>
      </c>
    </row>
    <row r="109" spans="1:14">
      <c r="A109" t="s">
        <v>115</v>
      </c>
      <c r="B109" t="s">
        <v>9</v>
      </c>
      <c r="C109">
        <v>15</v>
      </c>
      <c r="D109">
        <v>92.3</v>
      </c>
      <c r="E109">
        <v>48</v>
      </c>
      <c r="F109">
        <v>78</v>
      </c>
      <c r="G109" t="str">
        <f t="shared" si="8"/>
        <v>PASS</v>
      </c>
      <c r="H109" t="str">
        <f t="shared" si="9"/>
        <v>C</v>
      </c>
      <c r="I109" t="str">
        <f t="shared" si="10"/>
        <v>Good</v>
      </c>
      <c r="J109">
        <f t="shared" si="11"/>
        <v>95</v>
      </c>
      <c r="K109">
        <f t="shared" si="12"/>
        <v>55.98</v>
      </c>
      <c r="L109">
        <f t="shared" si="13"/>
        <v>20</v>
      </c>
      <c r="M109">
        <f t="shared" si="14"/>
        <v>462</v>
      </c>
      <c r="N109">
        <f t="shared" si="15"/>
        <v>38</v>
      </c>
    </row>
    <row r="110" spans="1:14">
      <c r="A110" t="s">
        <v>116</v>
      </c>
      <c r="B110" t="s">
        <v>7</v>
      </c>
      <c r="C110">
        <v>15</v>
      </c>
      <c r="D110">
        <v>89.1</v>
      </c>
      <c r="E110">
        <v>40</v>
      </c>
      <c r="F110">
        <v>55</v>
      </c>
      <c r="G110" t="str">
        <f t="shared" si="8"/>
        <v>PASS</v>
      </c>
      <c r="H110" t="str">
        <f t="shared" si="9"/>
        <v>D</v>
      </c>
      <c r="I110" t="str">
        <f t="shared" si="10"/>
        <v>Average</v>
      </c>
      <c r="J110">
        <f t="shared" si="11"/>
        <v>95</v>
      </c>
      <c r="K110">
        <f t="shared" si="12"/>
        <v>55.98</v>
      </c>
      <c r="L110">
        <f t="shared" si="13"/>
        <v>20</v>
      </c>
      <c r="M110">
        <f t="shared" si="14"/>
        <v>462</v>
      </c>
      <c r="N110">
        <f t="shared" si="15"/>
        <v>38</v>
      </c>
    </row>
    <row r="111" spans="1:14">
      <c r="A111" t="s">
        <v>117</v>
      </c>
      <c r="B111" t="s">
        <v>9</v>
      </c>
      <c r="C111">
        <v>17</v>
      </c>
      <c r="D111">
        <v>85.9</v>
      </c>
      <c r="E111">
        <v>60</v>
      </c>
      <c r="F111">
        <v>75</v>
      </c>
      <c r="G111" t="str">
        <f t="shared" si="8"/>
        <v>PASS</v>
      </c>
      <c r="H111" t="str">
        <f t="shared" si="9"/>
        <v>C</v>
      </c>
      <c r="I111" t="str">
        <f t="shared" si="10"/>
        <v>Good</v>
      </c>
      <c r="J111">
        <f t="shared" si="11"/>
        <v>95</v>
      </c>
      <c r="K111">
        <f t="shared" si="12"/>
        <v>55.98</v>
      </c>
      <c r="L111">
        <f t="shared" si="13"/>
        <v>20</v>
      </c>
      <c r="M111">
        <f t="shared" si="14"/>
        <v>462</v>
      </c>
      <c r="N111">
        <f t="shared" si="15"/>
        <v>38</v>
      </c>
    </row>
    <row r="112" spans="1:14">
      <c r="A112" t="s">
        <v>118</v>
      </c>
      <c r="B112" t="s">
        <v>9</v>
      </c>
      <c r="C112">
        <v>16</v>
      </c>
      <c r="D112">
        <v>54.5</v>
      </c>
      <c r="E112">
        <v>51</v>
      </c>
      <c r="F112">
        <v>71</v>
      </c>
      <c r="G112" t="str">
        <f t="shared" si="8"/>
        <v>PASS</v>
      </c>
      <c r="H112" t="str">
        <f t="shared" si="9"/>
        <v>C</v>
      </c>
      <c r="I112" t="str">
        <f t="shared" si="10"/>
        <v>Good</v>
      </c>
      <c r="J112">
        <f t="shared" si="11"/>
        <v>95</v>
      </c>
      <c r="K112">
        <f t="shared" si="12"/>
        <v>55.98</v>
      </c>
      <c r="L112">
        <f t="shared" si="13"/>
        <v>20</v>
      </c>
      <c r="M112">
        <f t="shared" si="14"/>
        <v>462</v>
      </c>
      <c r="N112">
        <f t="shared" si="15"/>
        <v>38</v>
      </c>
    </row>
    <row r="113" spans="1:14">
      <c r="A113" t="s">
        <v>119</v>
      </c>
      <c r="B113" t="s">
        <v>9</v>
      </c>
      <c r="C113">
        <v>15</v>
      </c>
      <c r="D113">
        <v>66.2</v>
      </c>
      <c r="E113">
        <v>77</v>
      </c>
      <c r="F113">
        <v>37</v>
      </c>
      <c r="G113" t="str">
        <f t="shared" si="8"/>
        <v>PASS</v>
      </c>
      <c r="H113" t="str">
        <f t="shared" si="9"/>
        <v>E</v>
      </c>
      <c r="I113" t="str">
        <f t="shared" si="10"/>
        <v>Poor</v>
      </c>
      <c r="J113">
        <f t="shared" si="11"/>
        <v>95</v>
      </c>
      <c r="K113">
        <f t="shared" si="12"/>
        <v>55.98</v>
      </c>
      <c r="L113">
        <f t="shared" si="13"/>
        <v>20</v>
      </c>
      <c r="M113">
        <f t="shared" si="14"/>
        <v>462</v>
      </c>
      <c r="N113">
        <f t="shared" si="15"/>
        <v>38</v>
      </c>
    </row>
    <row r="114" spans="1:14">
      <c r="A114" t="s">
        <v>120</v>
      </c>
      <c r="B114" t="s">
        <v>7</v>
      </c>
      <c r="C114">
        <v>16</v>
      </c>
      <c r="D114">
        <v>70.599999999999994</v>
      </c>
      <c r="E114">
        <v>40</v>
      </c>
      <c r="F114">
        <v>60</v>
      </c>
      <c r="G114" t="str">
        <f t="shared" si="8"/>
        <v>PASS</v>
      </c>
      <c r="H114" t="str">
        <f t="shared" si="9"/>
        <v>C</v>
      </c>
      <c r="I114" t="str">
        <f t="shared" si="10"/>
        <v>Good</v>
      </c>
      <c r="J114">
        <f t="shared" si="11"/>
        <v>95</v>
      </c>
      <c r="K114">
        <f t="shared" si="12"/>
        <v>55.98</v>
      </c>
      <c r="L114">
        <f t="shared" si="13"/>
        <v>20</v>
      </c>
      <c r="M114">
        <f t="shared" si="14"/>
        <v>462</v>
      </c>
      <c r="N114">
        <f t="shared" si="15"/>
        <v>38</v>
      </c>
    </row>
    <row r="115" spans="1:14">
      <c r="A115" t="s">
        <v>121</v>
      </c>
      <c r="B115" t="s">
        <v>9</v>
      </c>
      <c r="C115">
        <v>19</v>
      </c>
      <c r="D115">
        <v>62</v>
      </c>
      <c r="E115">
        <v>89</v>
      </c>
      <c r="F115">
        <v>75</v>
      </c>
      <c r="G115" t="str">
        <f t="shared" si="8"/>
        <v>PASS</v>
      </c>
      <c r="H115" t="str">
        <f t="shared" si="9"/>
        <v>C</v>
      </c>
      <c r="I115" t="str">
        <f t="shared" si="10"/>
        <v>Good</v>
      </c>
      <c r="J115">
        <f t="shared" si="11"/>
        <v>95</v>
      </c>
      <c r="K115">
        <f t="shared" si="12"/>
        <v>55.98</v>
      </c>
      <c r="L115">
        <f t="shared" si="13"/>
        <v>20</v>
      </c>
      <c r="M115">
        <f t="shared" si="14"/>
        <v>462</v>
      </c>
      <c r="N115">
        <f t="shared" si="15"/>
        <v>38</v>
      </c>
    </row>
    <row r="116" spans="1:14">
      <c r="A116" t="s">
        <v>122</v>
      </c>
      <c r="B116" t="s">
        <v>9</v>
      </c>
      <c r="C116">
        <v>18</v>
      </c>
      <c r="D116">
        <v>83.3</v>
      </c>
      <c r="E116">
        <v>39</v>
      </c>
      <c r="F116">
        <v>46</v>
      </c>
      <c r="G116" t="str">
        <f t="shared" si="8"/>
        <v>PASS</v>
      </c>
      <c r="H116" t="str">
        <f t="shared" si="9"/>
        <v>E</v>
      </c>
      <c r="I116" t="str">
        <f t="shared" si="10"/>
        <v>Average</v>
      </c>
      <c r="J116">
        <f t="shared" si="11"/>
        <v>95</v>
      </c>
      <c r="K116">
        <f t="shared" si="12"/>
        <v>55.98</v>
      </c>
      <c r="L116">
        <f t="shared" si="13"/>
        <v>20</v>
      </c>
      <c r="M116">
        <f t="shared" si="14"/>
        <v>462</v>
      </c>
      <c r="N116">
        <f t="shared" si="15"/>
        <v>38</v>
      </c>
    </row>
    <row r="117" spans="1:14">
      <c r="A117" t="s">
        <v>123</v>
      </c>
      <c r="B117" t="s">
        <v>9</v>
      </c>
      <c r="C117">
        <v>19</v>
      </c>
      <c r="D117">
        <v>81.900000000000006</v>
      </c>
      <c r="E117">
        <v>68</v>
      </c>
      <c r="F117">
        <v>45</v>
      </c>
      <c r="G117" t="str">
        <f t="shared" si="8"/>
        <v>PASS</v>
      </c>
      <c r="H117" t="str">
        <f t="shared" si="9"/>
        <v>E</v>
      </c>
      <c r="I117" t="str">
        <f t="shared" si="10"/>
        <v>Average</v>
      </c>
      <c r="J117">
        <f t="shared" si="11"/>
        <v>95</v>
      </c>
      <c r="K117">
        <f t="shared" si="12"/>
        <v>55.98</v>
      </c>
      <c r="L117">
        <f t="shared" si="13"/>
        <v>20</v>
      </c>
      <c r="M117">
        <f t="shared" si="14"/>
        <v>462</v>
      </c>
      <c r="N117">
        <f t="shared" si="15"/>
        <v>38</v>
      </c>
    </row>
    <row r="118" spans="1:14">
      <c r="A118" t="s">
        <v>124</v>
      </c>
      <c r="B118" t="s">
        <v>9</v>
      </c>
      <c r="C118">
        <v>18</v>
      </c>
      <c r="D118">
        <v>61.9</v>
      </c>
      <c r="E118">
        <v>67</v>
      </c>
      <c r="F118">
        <v>24</v>
      </c>
      <c r="G118" t="str">
        <f t="shared" si="8"/>
        <v>FAIL</v>
      </c>
      <c r="H118" t="str">
        <f t="shared" si="9"/>
        <v>E</v>
      </c>
      <c r="I118" t="str">
        <f t="shared" si="10"/>
        <v>Poor</v>
      </c>
      <c r="J118">
        <f t="shared" si="11"/>
        <v>95</v>
      </c>
      <c r="K118">
        <f t="shared" si="12"/>
        <v>55.98</v>
      </c>
      <c r="L118">
        <f t="shared" si="13"/>
        <v>20</v>
      </c>
      <c r="M118">
        <f t="shared" si="14"/>
        <v>462</v>
      </c>
      <c r="N118">
        <f t="shared" si="15"/>
        <v>38</v>
      </c>
    </row>
    <row r="119" spans="1:14">
      <c r="A119" t="s">
        <v>125</v>
      </c>
      <c r="B119" t="s">
        <v>9</v>
      </c>
      <c r="C119">
        <v>17</v>
      </c>
      <c r="D119">
        <v>78.3</v>
      </c>
      <c r="E119">
        <v>59</v>
      </c>
      <c r="F119">
        <v>42</v>
      </c>
      <c r="G119" t="str">
        <f t="shared" si="8"/>
        <v>PASS</v>
      </c>
      <c r="H119" t="str">
        <f t="shared" si="9"/>
        <v>E</v>
      </c>
      <c r="I119" t="str">
        <f t="shared" si="10"/>
        <v>Average</v>
      </c>
      <c r="J119">
        <f t="shared" si="11"/>
        <v>95</v>
      </c>
      <c r="K119">
        <f t="shared" si="12"/>
        <v>55.98</v>
      </c>
      <c r="L119">
        <f t="shared" si="13"/>
        <v>20</v>
      </c>
      <c r="M119">
        <f t="shared" si="14"/>
        <v>462</v>
      </c>
      <c r="N119">
        <f t="shared" si="15"/>
        <v>38</v>
      </c>
    </row>
    <row r="120" spans="1:14">
      <c r="A120" t="s">
        <v>126</v>
      </c>
      <c r="B120" t="s">
        <v>9</v>
      </c>
      <c r="C120">
        <v>16</v>
      </c>
      <c r="D120">
        <v>59.5</v>
      </c>
      <c r="E120">
        <v>35</v>
      </c>
      <c r="F120">
        <v>51</v>
      </c>
      <c r="G120" t="str">
        <f t="shared" si="8"/>
        <v>PASS</v>
      </c>
      <c r="H120" t="str">
        <f t="shared" si="9"/>
        <v>D</v>
      </c>
      <c r="I120" t="str">
        <f t="shared" si="10"/>
        <v>Average</v>
      </c>
      <c r="J120">
        <f t="shared" si="11"/>
        <v>95</v>
      </c>
      <c r="K120">
        <f t="shared" si="12"/>
        <v>55.98</v>
      </c>
      <c r="L120">
        <f t="shared" si="13"/>
        <v>20</v>
      </c>
      <c r="M120">
        <f t="shared" si="14"/>
        <v>462</v>
      </c>
      <c r="N120">
        <f t="shared" si="15"/>
        <v>38</v>
      </c>
    </row>
    <row r="121" spans="1:14">
      <c r="A121" t="s">
        <v>127</v>
      </c>
      <c r="B121" t="s">
        <v>9</v>
      </c>
      <c r="C121">
        <v>15</v>
      </c>
      <c r="D121">
        <v>68.2</v>
      </c>
      <c r="E121">
        <v>71</v>
      </c>
      <c r="F121">
        <v>72</v>
      </c>
      <c r="G121" t="str">
        <f t="shared" si="8"/>
        <v>PASS</v>
      </c>
      <c r="H121" t="str">
        <f t="shared" si="9"/>
        <v>C</v>
      </c>
      <c r="I121" t="str">
        <f t="shared" si="10"/>
        <v>Good</v>
      </c>
      <c r="J121">
        <f t="shared" si="11"/>
        <v>95</v>
      </c>
      <c r="K121">
        <f t="shared" si="12"/>
        <v>55.98</v>
      </c>
      <c r="L121">
        <f t="shared" si="13"/>
        <v>20</v>
      </c>
      <c r="M121">
        <f t="shared" si="14"/>
        <v>462</v>
      </c>
      <c r="N121">
        <f t="shared" si="15"/>
        <v>38</v>
      </c>
    </row>
    <row r="122" spans="1:14">
      <c r="A122" t="s">
        <v>128</v>
      </c>
      <c r="B122" t="s">
        <v>9</v>
      </c>
      <c r="C122">
        <v>16</v>
      </c>
      <c r="D122">
        <v>56.6</v>
      </c>
      <c r="E122">
        <v>51</v>
      </c>
      <c r="F122">
        <v>32</v>
      </c>
      <c r="G122" t="str">
        <f t="shared" si="8"/>
        <v>FAIL</v>
      </c>
      <c r="H122" t="str">
        <f t="shared" si="9"/>
        <v>E</v>
      </c>
      <c r="I122" t="str">
        <f t="shared" si="10"/>
        <v>Poor</v>
      </c>
      <c r="J122">
        <f t="shared" si="11"/>
        <v>95</v>
      </c>
      <c r="K122">
        <f t="shared" si="12"/>
        <v>55.98</v>
      </c>
      <c r="L122">
        <f t="shared" si="13"/>
        <v>20</v>
      </c>
      <c r="M122">
        <f t="shared" si="14"/>
        <v>462</v>
      </c>
      <c r="N122">
        <f t="shared" si="15"/>
        <v>38</v>
      </c>
    </row>
    <row r="123" spans="1:14">
      <c r="A123" t="s">
        <v>129</v>
      </c>
      <c r="B123" t="s">
        <v>9</v>
      </c>
      <c r="C123">
        <v>17</v>
      </c>
      <c r="D123">
        <v>93.5</v>
      </c>
      <c r="E123">
        <v>48</v>
      </c>
      <c r="F123">
        <v>84</v>
      </c>
      <c r="G123" t="str">
        <f t="shared" si="8"/>
        <v>PASS</v>
      </c>
      <c r="H123" t="str">
        <f t="shared" si="9"/>
        <v>B</v>
      </c>
      <c r="I123" t="str">
        <f t="shared" si="10"/>
        <v>Excellent</v>
      </c>
      <c r="J123">
        <f t="shared" si="11"/>
        <v>95</v>
      </c>
      <c r="K123">
        <f t="shared" si="12"/>
        <v>55.98</v>
      </c>
      <c r="L123">
        <f t="shared" si="13"/>
        <v>20</v>
      </c>
      <c r="M123">
        <f t="shared" si="14"/>
        <v>462</v>
      </c>
      <c r="N123">
        <f t="shared" si="15"/>
        <v>38</v>
      </c>
    </row>
    <row r="124" spans="1:14">
      <c r="A124" t="s">
        <v>130</v>
      </c>
      <c r="B124" t="s">
        <v>7</v>
      </c>
      <c r="C124">
        <v>18</v>
      </c>
      <c r="D124">
        <v>90.2</v>
      </c>
      <c r="E124">
        <v>31</v>
      </c>
      <c r="F124">
        <v>69</v>
      </c>
      <c r="G124" t="str">
        <f t="shared" si="8"/>
        <v>PASS</v>
      </c>
      <c r="H124" t="str">
        <f t="shared" si="9"/>
        <v>C</v>
      </c>
      <c r="I124" t="str">
        <f t="shared" si="10"/>
        <v>Good</v>
      </c>
      <c r="J124">
        <f t="shared" si="11"/>
        <v>95</v>
      </c>
      <c r="K124">
        <f t="shared" si="12"/>
        <v>55.98</v>
      </c>
      <c r="L124">
        <f t="shared" si="13"/>
        <v>20</v>
      </c>
      <c r="M124">
        <f t="shared" si="14"/>
        <v>462</v>
      </c>
      <c r="N124">
        <f t="shared" si="15"/>
        <v>38</v>
      </c>
    </row>
    <row r="125" spans="1:14">
      <c r="A125" t="s">
        <v>131</v>
      </c>
      <c r="B125" t="s">
        <v>7</v>
      </c>
      <c r="C125">
        <v>18</v>
      </c>
      <c r="D125">
        <v>83.6</v>
      </c>
      <c r="E125">
        <v>43</v>
      </c>
      <c r="F125">
        <v>59</v>
      </c>
      <c r="G125" t="str">
        <f t="shared" si="8"/>
        <v>PASS</v>
      </c>
      <c r="H125" t="str">
        <f t="shared" si="9"/>
        <v>D</v>
      </c>
      <c r="I125" t="str">
        <f t="shared" si="10"/>
        <v>Average</v>
      </c>
      <c r="J125">
        <f t="shared" si="11"/>
        <v>95</v>
      </c>
      <c r="K125">
        <f t="shared" si="12"/>
        <v>55.98</v>
      </c>
      <c r="L125">
        <f t="shared" si="13"/>
        <v>20</v>
      </c>
      <c r="M125">
        <f t="shared" si="14"/>
        <v>462</v>
      </c>
      <c r="N125">
        <f t="shared" si="15"/>
        <v>38</v>
      </c>
    </row>
    <row r="126" spans="1:14">
      <c r="A126" t="s">
        <v>132</v>
      </c>
      <c r="B126" t="s">
        <v>7</v>
      </c>
      <c r="C126">
        <v>18</v>
      </c>
      <c r="D126">
        <v>81</v>
      </c>
      <c r="E126">
        <v>38</v>
      </c>
      <c r="F126">
        <v>39</v>
      </c>
      <c r="G126" t="str">
        <f t="shared" si="8"/>
        <v>PASS</v>
      </c>
      <c r="H126" t="str">
        <f t="shared" si="9"/>
        <v>E</v>
      </c>
      <c r="I126" t="str">
        <f t="shared" si="10"/>
        <v>Poor</v>
      </c>
      <c r="J126">
        <f t="shared" si="11"/>
        <v>95</v>
      </c>
      <c r="K126">
        <f t="shared" si="12"/>
        <v>55.98</v>
      </c>
      <c r="L126">
        <f t="shared" si="13"/>
        <v>20</v>
      </c>
      <c r="M126">
        <f t="shared" si="14"/>
        <v>462</v>
      </c>
      <c r="N126">
        <f t="shared" si="15"/>
        <v>38</v>
      </c>
    </row>
    <row r="127" spans="1:14">
      <c r="A127" t="s">
        <v>133</v>
      </c>
      <c r="B127" t="s">
        <v>9</v>
      </c>
      <c r="C127">
        <v>17</v>
      </c>
      <c r="D127">
        <v>70.400000000000006</v>
      </c>
      <c r="E127">
        <v>68</v>
      </c>
      <c r="F127">
        <v>67</v>
      </c>
      <c r="G127" t="str">
        <f t="shared" si="8"/>
        <v>PASS</v>
      </c>
      <c r="H127" t="str">
        <f t="shared" si="9"/>
        <v>C</v>
      </c>
      <c r="I127" t="str">
        <f t="shared" si="10"/>
        <v>Good</v>
      </c>
      <c r="J127">
        <f t="shared" si="11"/>
        <v>95</v>
      </c>
      <c r="K127">
        <f t="shared" si="12"/>
        <v>55.98</v>
      </c>
      <c r="L127">
        <f t="shared" si="13"/>
        <v>20</v>
      </c>
      <c r="M127">
        <f t="shared" si="14"/>
        <v>462</v>
      </c>
      <c r="N127">
        <f t="shared" si="15"/>
        <v>38</v>
      </c>
    </row>
    <row r="128" spans="1:14">
      <c r="A128" t="s">
        <v>134</v>
      </c>
      <c r="B128" t="s">
        <v>7</v>
      </c>
      <c r="C128">
        <v>15</v>
      </c>
      <c r="D128">
        <v>94.4</v>
      </c>
      <c r="E128">
        <v>77</v>
      </c>
      <c r="F128">
        <v>63</v>
      </c>
      <c r="G128" t="str">
        <f t="shared" si="8"/>
        <v>PASS</v>
      </c>
      <c r="H128" t="str">
        <f t="shared" si="9"/>
        <v>C</v>
      </c>
      <c r="I128" t="str">
        <f t="shared" si="10"/>
        <v>Good</v>
      </c>
      <c r="J128">
        <f t="shared" si="11"/>
        <v>95</v>
      </c>
      <c r="K128">
        <f t="shared" si="12"/>
        <v>55.98</v>
      </c>
      <c r="L128">
        <f t="shared" si="13"/>
        <v>20</v>
      </c>
      <c r="M128">
        <f t="shared" si="14"/>
        <v>462</v>
      </c>
      <c r="N128">
        <f t="shared" si="15"/>
        <v>38</v>
      </c>
    </row>
    <row r="129" spans="1:14">
      <c r="A129" t="s">
        <v>135</v>
      </c>
      <c r="B129" t="s">
        <v>9</v>
      </c>
      <c r="C129">
        <v>19</v>
      </c>
      <c r="D129">
        <v>86.3</v>
      </c>
      <c r="E129">
        <v>82</v>
      </c>
      <c r="F129">
        <v>72</v>
      </c>
      <c r="G129" t="str">
        <f t="shared" si="8"/>
        <v>PASS</v>
      </c>
      <c r="H129" t="str">
        <f t="shared" si="9"/>
        <v>C</v>
      </c>
      <c r="I129" t="str">
        <f t="shared" si="10"/>
        <v>Good</v>
      </c>
      <c r="J129">
        <f t="shared" si="11"/>
        <v>95</v>
      </c>
      <c r="K129">
        <f t="shared" si="12"/>
        <v>55.98</v>
      </c>
      <c r="L129">
        <f t="shared" si="13"/>
        <v>20</v>
      </c>
      <c r="M129">
        <f t="shared" si="14"/>
        <v>462</v>
      </c>
      <c r="N129">
        <f t="shared" si="15"/>
        <v>38</v>
      </c>
    </row>
    <row r="130" spans="1:14">
      <c r="A130" t="s">
        <v>136</v>
      </c>
      <c r="B130" t="s">
        <v>7</v>
      </c>
      <c r="C130">
        <v>17</v>
      </c>
      <c r="D130">
        <v>72.2</v>
      </c>
      <c r="E130">
        <v>77</v>
      </c>
      <c r="F130">
        <v>51</v>
      </c>
      <c r="G130" t="str">
        <f t="shared" ref="G130:G193" si="16">IF(F130&gt;33,"PASS","FAIL")</f>
        <v>PASS</v>
      </c>
      <c r="H130" t="str">
        <f t="shared" ref="H130:H193" si="17">IF(F130&gt;90,"A",IF(F130&gt;=80,"B",IF(F130&gt;=60,"C",IF(F130&gt;=50,"D","E"))))</f>
        <v>D</v>
      </c>
      <c r="I130" t="str">
        <f t="shared" ref="I130:I193" si="18">IF(F130&gt;=80,"Excellent",IF(F130&gt;=60,"Good",IF(F130&gt;=40,"Average","Poor")))</f>
        <v>Average</v>
      </c>
      <c r="J130">
        <f t="shared" ref="J130:J193" si="19">MAX(F:F)</f>
        <v>95</v>
      </c>
      <c r="K130">
        <f t="shared" ref="K130:K193" si="20">AVERAGE(F:F)</f>
        <v>55.98</v>
      </c>
      <c r="L130">
        <f t="shared" ref="L130:L193" si="21">MIN(F:F)</f>
        <v>20</v>
      </c>
      <c r="M130">
        <f t="shared" ref="M130:M193" si="22">COUNTIF(G:G,"pass")</f>
        <v>462</v>
      </c>
      <c r="N130">
        <f t="shared" ref="N130:N193" si="23">COUNTIF(G:G,"fail")</f>
        <v>38</v>
      </c>
    </row>
    <row r="131" spans="1:14">
      <c r="A131" t="s">
        <v>137</v>
      </c>
      <c r="B131" t="s">
        <v>9</v>
      </c>
      <c r="C131">
        <v>15</v>
      </c>
      <c r="D131">
        <v>63.8</v>
      </c>
      <c r="E131">
        <v>57</v>
      </c>
      <c r="F131">
        <v>56</v>
      </c>
      <c r="G131" t="str">
        <f t="shared" si="16"/>
        <v>PASS</v>
      </c>
      <c r="H131" t="str">
        <f t="shared" si="17"/>
        <v>D</v>
      </c>
      <c r="I131" t="str">
        <f t="shared" si="18"/>
        <v>Average</v>
      </c>
      <c r="J131">
        <f t="shared" si="19"/>
        <v>95</v>
      </c>
      <c r="K131">
        <f t="shared" si="20"/>
        <v>55.98</v>
      </c>
      <c r="L131">
        <f t="shared" si="21"/>
        <v>20</v>
      </c>
      <c r="M131">
        <f t="shared" si="22"/>
        <v>462</v>
      </c>
      <c r="N131">
        <f t="shared" si="23"/>
        <v>38</v>
      </c>
    </row>
    <row r="132" spans="1:14">
      <c r="A132" t="s">
        <v>138</v>
      </c>
      <c r="B132" t="s">
        <v>7</v>
      </c>
      <c r="C132">
        <v>15</v>
      </c>
      <c r="D132">
        <v>66.7</v>
      </c>
      <c r="E132">
        <v>56</v>
      </c>
      <c r="F132">
        <v>74</v>
      </c>
      <c r="G132" t="str">
        <f t="shared" si="16"/>
        <v>PASS</v>
      </c>
      <c r="H132" t="str">
        <f t="shared" si="17"/>
        <v>C</v>
      </c>
      <c r="I132" t="str">
        <f t="shared" si="18"/>
        <v>Good</v>
      </c>
      <c r="J132">
        <f t="shared" si="19"/>
        <v>95</v>
      </c>
      <c r="K132">
        <f t="shared" si="20"/>
        <v>55.98</v>
      </c>
      <c r="L132">
        <f t="shared" si="21"/>
        <v>20</v>
      </c>
      <c r="M132">
        <f t="shared" si="22"/>
        <v>462</v>
      </c>
      <c r="N132">
        <f t="shared" si="23"/>
        <v>38</v>
      </c>
    </row>
    <row r="133" spans="1:14">
      <c r="A133" t="s">
        <v>139</v>
      </c>
      <c r="B133" t="s">
        <v>7</v>
      </c>
      <c r="C133">
        <v>16</v>
      </c>
      <c r="D133">
        <v>88.7</v>
      </c>
      <c r="E133">
        <v>48</v>
      </c>
      <c r="F133">
        <v>43</v>
      </c>
      <c r="G133" t="str">
        <f t="shared" si="16"/>
        <v>PASS</v>
      </c>
      <c r="H133" t="str">
        <f t="shared" si="17"/>
        <v>E</v>
      </c>
      <c r="I133" t="str">
        <f t="shared" si="18"/>
        <v>Average</v>
      </c>
      <c r="J133">
        <f t="shared" si="19"/>
        <v>95</v>
      </c>
      <c r="K133">
        <f t="shared" si="20"/>
        <v>55.98</v>
      </c>
      <c r="L133">
        <f t="shared" si="21"/>
        <v>20</v>
      </c>
      <c r="M133">
        <f t="shared" si="22"/>
        <v>462</v>
      </c>
      <c r="N133">
        <f t="shared" si="23"/>
        <v>38</v>
      </c>
    </row>
    <row r="134" spans="1:14">
      <c r="A134" t="s">
        <v>140</v>
      </c>
      <c r="B134" t="s">
        <v>9</v>
      </c>
      <c r="C134">
        <v>16</v>
      </c>
      <c r="D134">
        <v>83.1</v>
      </c>
      <c r="E134">
        <v>75</v>
      </c>
      <c r="F134">
        <v>57</v>
      </c>
      <c r="G134" t="str">
        <f t="shared" si="16"/>
        <v>PASS</v>
      </c>
      <c r="H134" t="str">
        <f t="shared" si="17"/>
        <v>D</v>
      </c>
      <c r="I134" t="str">
        <f t="shared" si="18"/>
        <v>Average</v>
      </c>
      <c r="J134">
        <f t="shared" si="19"/>
        <v>95</v>
      </c>
      <c r="K134">
        <f t="shared" si="20"/>
        <v>55.98</v>
      </c>
      <c r="L134">
        <f t="shared" si="21"/>
        <v>20</v>
      </c>
      <c r="M134">
        <f t="shared" si="22"/>
        <v>462</v>
      </c>
      <c r="N134">
        <f t="shared" si="23"/>
        <v>38</v>
      </c>
    </row>
    <row r="135" spans="1:14">
      <c r="A135" t="s">
        <v>141</v>
      </c>
      <c r="B135" t="s">
        <v>7</v>
      </c>
      <c r="C135">
        <v>19</v>
      </c>
      <c r="D135">
        <v>50.8</v>
      </c>
      <c r="E135">
        <v>83</v>
      </c>
      <c r="F135">
        <v>50</v>
      </c>
      <c r="G135" t="str">
        <f t="shared" si="16"/>
        <v>PASS</v>
      </c>
      <c r="H135" t="str">
        <f t="shared" si="17"/>
        <v>D</v>
      </c>
      <c r="I135" t="str">
        <f t="shared" si="18"/>
        <v>Average</v>
      </c>
      <c r="J135">
        <f t="shared" si="19"/>
        <v>95</v>
      </c>
      <c r="K135">
        <f t="shared" si="20"/>
        <v>55.98</v>
      </c>
      <c r="L135">
        <f t="shared" si="21"/>
        <v>20</v>
      </c>
      <c r="M135">
        <f t="shared" si="22"/>
        <v>462</v>
      </c>
      <c r="N135">
        <f t="shared" si="23"/>
        <v>38</v>
      </c>
    </row>
    <row r="136" spans="1:14">
      <c r="A136" t="s">
        <v>142</v>
      </c>
      <c r="B136" t="s">
        <v>7</v>
      </c>
      <c r="C136">
        <v>15</v>
      </c>
      <c r="D136">
        <v>72.400000000000006</v>
      </c>
      <c r="E136">
        <v>94</v>
      </c>
      <c r="F136">
        <v>58</v>
      </c>
      <c r="G136" t="str">
        <f t="shared" si="16"/>
        <v>PASS</v>
      </c>
      <c r="H136" t="str">
        <f t="shared" si="17"/>
        <v>D</v>
      </c>
      <c r="I136" t="str">
        <f t="shared" si="18"/>
        <v>Average</v>
      </c>
      <c r="J136">
        <f t="shared" si="19"/>
        <v>95</v>
      </c>
      <c r="K136">
        <f t="shared" si="20"/>
        <v>55.98</v>
      </c>
      <c r="L136">
        <f t="shared" si="21"/>
        <v>20</v>
      </c>
      <c r="M136">
        <f t="shared" si="22"/>
        <v>462</v>
      </c>
      <c r="N136">
        <f t="shared" si="23"/>
        <v>38</v>
      </c>
    </row>
    <row r="137" spans="1:14">
      <c r="A137" t="s">
        <v>143</v>
      </c>
      <c r="B137" t="s">
        <v>7</v>
      </c>
      <c r="C137">
        <v>19</v>
      </c>
      <c r="D137">
        <v>72.900000000000006</v>
      </c>
      <c r="E137">
        <v>81</v>
      </c>
      <c r="F137">
        <v>52</v>
      </c>
      <c r="G137" t="str">
        <f t="shared" si="16"/>
        <v>PASS</v>
      </c>
      <c r="H137" t="str">
        <f t="shared" si="17"/>
        <v>D</v>
      </c>
      <c r="I137" t="str">
        <f t="shared" si="18"/>
        <v>Average</v>
      </c>
      <c r="J137">
        <f t="shared" si="19"/>
        <v>95</v>
      </c>
      <c r="K137">
        <f t="shared" si="20"/>
        <v>55.98</v>
      </c>
      <c r="L137">
        <f t="shared" si="21"/>
        <v>20</v>
      </c>
      <c r="M137">
        <f t="shared" si="22"/>
        <v>462</v>
      </c>
      <c r="N137">
        <f t="shared" si="23"/>
        <v>38</v>
      </c>
    </row>
    <row r="138" spans="1:14">
      <c r="A138" t="s">
        <v>144</v>
      </c>
      <c r="B138" t="s">
        <v>7</v>
      </c>
      <c r="C138">
        <v>18</v>
      </c>
      <c r="D138">
        <v>95.5</v>
      </c>
      <c r="E138">
        <v>48</v>
      </c>
      <c r="F138">
        <v>61</v>
      </c>
      <c r="G138" t="str">
        <f t="shared" si="16"/>
        <v>PASS</v>
      </c>
      <c r="H138" t="str">
        <f t="shared" si="17"/>
        <v>C</v>
      </c>
      <c r="I138" t="str">
        <f t="shared" si="18"/>
        <v>Good</v>
      </c>
      <c r="J138">
        <f t="shared" si="19"/>
        <v>95</v>
      </c>
      <c r="K138">
        <f t="shared" si="20"/>
        <v>55.98</v>
      </c>
      <c r="L138">
        <f t="shared" si="21"/>
        <v>20</v>
      </c>
      <c r="M138">
        <f t="shared" si="22"/>
        <v>462</v>
      </c>
      <c r="N138">
        <f t="shared" si="23"/>
        <v>38</v>
      </c>
    </row>
    <row r="139" spans="1:14">
      <c r="A139" t="s">
        <v>145</v>
      </c>
      <c r="B139" t="s">
        <v>7</v>
      </c>
      <c r="C139">
        <v>17</v>
      </c>
      <c r="D139">
        <v>81.7</v>
      </c>
      <c r="E139">
        <v>67</v>
      </c>
      <c r="F139">
        <v>68</v>
      </c>
      <c r="G139" t="str">
        <f t="shared" si="16"/>
        <v>PASS</v>
      </c>
      <c r="H139" t="str">
        <f t="shared" si="17"/>
        <v>C</v>
      </c>
      <c r="I139" t="str">
        <f t="shared" si="18"/>
        <v>Good</v>
      </c>
      <c r="J139">
        <f t="shared" si="19"/>
        <v>95</v>
      </c>
      <c r="K139">
        <f t="shared" si="20"/>
        <v>55.98</v>
      </c>
      <c r="L139">
        <f t="shared" si="21"/>
        <v>20</v>
      </c>
      <c r="M139">
        <f t="shared" si="22"/>
        <v>462</v>
      </c>
      <c r="N139">
        <f t="shared" si="23"/>
        <v>38</v>
      </c>
    </row>
    <row r="140" spans="1:14">
      <c r="A140" t="s">
        <v>146</v>
      </c>
      <c r="B140" t="s">
        <v>9</v>
      </c>
      <c r="C140">
        <v>15</v>
      </c>
      <c r="D140">
        <v>85.1</v>
      </c>
      <c r="E140">
        <v>87</v>
      </c>
      <c r="F140">
        <v>75</v>
      </c>
      <c r="G140" t="str">
        <f t="shared" si="16"/>
        <v>PASS</v>
      </c>
      <c r="H140" t="str">
        <f t="shared" si="17"/>
        <v>C</v>
      </c>
      <c r="I140" t="str">
        <f t="shared" si="18"/>
        <v>Good</v>
      </c>
      <c r="J140">
        <f t="shared" si="19"/>
        <v>95</v>
      </c>
      <c r="K140">
        <f t="shared" si="20"/>
        <v>55.98</v>
      </c>
      <c r="L140">
        <f t="shared" si="21"/>
        <v>20</v>
      </c>
      <c r="M140">
        <f t="shared" si="22"/>
        <v>462</v>
      </c>
      <c r="N140">
        <f t="shared" si="23"/>
        <v>38</v>
      </c>
    </row>
    <row r="141" spans="1:14">
      <c r="A141" t="s">
        <v>147</v>
      </c>
      <c r="B141" t="s">
        <v>9</v>
      </c>
      <c r="C141">
        <v>17</v>
      </c>
      <c r="D141">
        <v>72.7</v>
      </c>
      <c r="E141">
        <v>84</v>
      </c>
      <c r="F141">
        <v>75</v>
      </c>
      <c r="G141" t="str">
        <f t="shared" si="16"/>
        <v>PASS</v>
      </c>
      <c r="H141" t="str">
        <f t="shared" si="17"/>
        <v>C</v>
      </c>
      <c r="I141" t="str">
        <f t="shared" si="18"/>
        <v>Good</v>
      </c>
      <c r="J141">
        <f t="shared" si="19"/>
        <v>95</v>
      </c>
      <c r="K141">
        <f t="shared" si="20"/>
        <v>55.98</v>
      </c>
      <c r="L141">
        <f t="shared" si="21"/>
        <v>20</v>
      </c>
      <c r="M141">
        <f t="shared" si="22"/>
        <v>462</v>
      </c>
      <c r="N141">
        <f t="shared" si="23"/>
        <v>38</v>
      </c>
    </row>
    <row r="142" spans="1:14">
      <c r="A142" t="s">
        <v>148</v>
      </c>
      <c r="B142" t="s">
        <v>9</v>
      </c>
      <c r="C142">
        <v>17</v>
      </c>
      <c r="D142">
        <v>84.3</v>
      </c>
      <c r="E142">
        <v>40</v>
      </c>
      <c r="F142">
        <v>29</v>
      </c>
      <c r="G142" t="str">
        <f t="shared" si="16"/>
        <v>FAIL</v>
      </c>
      <c r="H142" t="str">
        <f t="shared" si="17"/>
        <v>E</v>
      </c>
      <c r="I142" t="str">
        <f t="shared" si="18"/>
        <v>Poor</v>
      </c>
      <c r="J142">
        <f t="shared" si="19"/>
        <v>95</v>
      </c>
      <c r="K142">
        <f t="shared" si="20"/>
        <v>55.98</v>
      </c>
      <c r="L142">
        <f t="shared" si="21"/>
        <v>20</v>
      </c>
      <c r="M142">
        <f t="shared" si="22"/>
        <v>462</v>
      </c>
      <c r="N142">
        <f t="shared" si="23"/>
        <v>38</v>
      </c>
    </row>
    <row r="143" spans="1:14">
      <c r="A143" t="s">
        <v>149</v>
      </c>
      <c r="B143" t="s">
        <v>9</v>
      </c>
      <c r="C143">
        <v>15</v>
      </c>
      <c r="D143">
        <v>86.9</v>
      </c>
      <c r="E143">
        <v>45</v>
      </c>
      <c r="F143">
        <v>70</v>
      </c>
      <c r="G143" t="str">
        <f t="shared" si="16"/>
        <v>PASS</v>
      </c>
      <c r="H143" t="str">
        <f t="shared" si="17"/>
        <v>C</v>
      </c>
      <c r="I143" t="str">
        <f t="shared" si="18"/>
        <v>Good</v>
      </c>
      <c r="J143">
        <f t="shared" si="19"/>
        <v>95</v>
      </c>
      <c r="K143">
        <f t="shared" si="20"/>
        <v>55.98</v>
      </c>
      <c r="L143">
        <f t="shared" si="21"/>
        <v>20</v>
      </c>
      <c r="M143">
        <f t="shared" si="22"/>
        <v>462</v>
      </c>
      <c r="N143">
        <f t="shared" si="23"/>
        <v>38</v>
      </c>
    </row>
    <row r="144" spans="1:14">
      <c r="A144" t="s">
        <v>150</v>
      </c>
      <c r="B144" t="s">
        <v>9</v>
      </c>
      <c r="C144">
        <v>18</v>
      </c>
      <c r="D144">
        <v>95.8</v>
      </c>
      <c r="E144">
        <v>75</v>
      </c>
      <c r="F144">
        <v>75</v>
      </c>
      <c r="G144" t="str">
        <f t="shared" si="16"/>
        <v>PASS</v>
      </c>
      <c r="H144" t="str">
        <f t="shared" si="17"/>
        <v>C</v>
      </c>
      <c r="I144" t="str">
        <f t="shared" si="18"/>
        <v>Good</v>
      </c>
      <c r="J144">
        <f t="shared" si="19"/>
        <v>95</v>
      </c>
      <c r="K144">
        <f t="shared" si="20"/>
        <v>55.98</v>
      </c>
      <c r="L144">
        <f t="shared" si="21"/>
        <v>20</v>
      </c>
      <c r="M144">
        <f t="shared" si="22"/>
        <v>462</v>
      </c>
      <c r="N144">
        <f t="shared" si="23"/>
        <v>38</v>
      </c>
    </row>
    <row r="145" spans="1:14">
      <c r="A145" t="s">
        <v>151</v>
      </c>
      <c r="B145" t="s">
        <v>7</v>
      </c>
      <c r="C145">
        <v>16</v>
      </c>
      <c r="D145">
        <v>74.099999999999994</v>
      </c>
      <c r="E145">
        <v>44</v>
      </c>
      <c r="F145">
        <v>74</v>
      </c>
      <c r="G145" t="str">
        <f t="shared" si="16"/>
        <v>PASS</v>
      </c>
      <c r="H145" t="str">
        <f t="shared" si="17"/>
        <v>C</v>
      </c>
      <c r="I145" t="str">
        <f t="shared" si="18"/>
        <v>Good</v>
      </c>
      <c r="J145">
        <f t="shared" si="19"/>
        <v>95</v>
      </c>
      <c r="K145">
        <f t="shared" si="20"/>
        <v>55.98</v>
      </c>
      <c r="L145">
        <f t="shared" si="21"/>
        <v>20</v>
      </c>
      <c r="M145">
        <f t="shared" si="22"/>
        <v>462</v>
      </c>
      <c r="N145">
        <f t="shared" si="23"/>
        <v>38</v>
      </c>
    </row>
    <row r="146" spans="1:14">
      <c r="A146" t="s">
        <v>152</v>
      </c>
      <c r="B146" t="s">
        <v>9</v>
      </c>
      <c r="C146">
        <v>19</v>
      </c>
      <c r="D146">
        <v>90.4</v>
      </c>
      <c r="E146">
        <v>33</v>
      </c>
      <c r="F146">
        <v>37</v>
      </c>
      <c r="G146" t="str">
        <f t="shared" si="16"/>
        <v>PASS</v>
      </c>
      <c r="H146" t="str">
        <f t="shared" si="17"/>
        <v>E</v>
      </c>
      <c r="I146" t="str">
        <f t="shared" si="18"/>
        <v>Poor</v>
      </c>
      <c r="J146">
        <f t="shared" si="19"/>
        <v>95</v>
      </c>
      <c r="K146">
        <f t="shared" si="20"/>
        <v>55.98</v>
      </c>
      <c r="L146">
        <f t="shared" si="21"/>
        <v>20</v>
      </c>
      <c r="M146">
        <f t="shared" si="22"/>
        <v>462</v>
      </c>
      <c r="N146">
        <f t="shared" si="23"/>
        <v>38</v>
      </c>
    </row>
    <row r="147" spans="1:14">
      <c r="A147" t="s">
        <v>153</v>
      </c>
      <c r="B147" t="s">
        <v>9</v>
      </c>
      <c r="C147">
        <v>17</v>
      </c>
      <c r="D147">
        <v>67.599999999999994</v>
      </c>
      <c r="E147">
        <v>38</v>
      </c>
      <c r="F147">
        <v>34</v>
      </c>
      <c r="G147" t="str">
        <f t="shared" si="16"/>
        <v>PASS</v>
      </c>
      <c r="H147" t="str">
        <f t="shared" si="17"/>
        <v>E</v>
      </c>
      <c r="I147" t="str">
        <f t="shared" si="18"/>
        <v>Poor</v>
      </c>
      <c r="J147">
        <f t="shared" si="19"/>
        <v>95</v>
      </c>
      <c r="K147">
        <f t="shared" si="20"/>
        <v>55.98</v>
      </c>
      <c r="L147">
        <f t="shared" si="21"/>
        <v>20</v>
      </c>
      <c r="M147">
        <f t="shared" si="22"/>
        <v>462</v>
      </c>
      <c r="N147">
        <f t="shared" si="23"/>
        <v>38</v>
      </c>
    </row>
    <row r="148" spans="1:14">
      <c r="A148" t="s">
        <v>154</v>
      </c>
      <c r="B148" t="s">
        <v>7</v>
      </c>
      <c r="C148">
        <v>15</v>
      </c>
      <c r="D148">
        <v>76.5</v>
      </c>
      <c r="E148">
        <v>73</v>
      </c>
      <c r="F148">
        <v>65</v>
      </c>
      <c r="G148" t="str">
        <f t="shared" si="16"/>
        <v>PASS</v>
      </c>
      <c r="H148" t="str">
        <f t="shared" si="17"/>
        <v>C</v>
      </c>
      <c r="I148" t="str">
        <f t="shared" si="18"/>
        <v>Good</v>
      </c>
      <c r="J148">
        <f t="shared" si="19"/>
        <v>95</v>
      </c>
      <c r="K148">
        <f t="shared" si="20"/>
        <v>55.98</v>
      </c>
      <c r="L148">
        <f t="shared" si="21"/>
        <v>20</v>
      </c>
      <c r="M148">
        <f t="shared" si="22"/>
        <v>462</v>
      </c>
      <c r="N148">
        <f t="shared" si="23"/>
        <v>38</v>
      </c>
    </row>
    <row r="149" spans="1:14">
      <c r="A149" t="s">
        <v>155</v>
      </c>
      <c r="B149" t="s">
        <v>9</v>
      </c>
      <c r="C149">
        <v>17</v>
      </c>
      <c r="D149">
        <v>66.2</v>
      </c>
      <c r="E149">
        <v>49</v>
      </c>
      <c r="F149">
        <v>57</v>
      </c>
      <c r="G149" t="str">
        <f t="shared" si="16"/>
        <v>PASS</v>
      </c>
      <c r="H149" t="str">
        <f t="shared" si="17"/>
        <v>D</v>
      </c>
      <c r="I149" t="str">
        <f t="shared" si="18"/>
        <v>Average</v>
      </c>
      <c r="J149">
        <f t="shared" si="19"/>
        <v>95</v>
      </c>
      <c r="K149">
        <f t="shared" si="20"/>
        <v>55.98</v>
      </c>
      <c r="L149">
        <f t="shared" si="21"/>
        <v>20</v>
      </c>
      <c r="M149">
        <f t="shared" si="22"/>
        <v>462</v>
      </c>
      <c r="N149">
        <f t="shared" si="23"/>
        <v>38</v>
      </c>
    </row>
    <row r="150" spans="1:14">
      <c r="A150" t="s">
        <v>156</v>
      </c>
      <c r="B150" t="s">
        <v>7</v>
      </c>
      <c r="C150">
        <v>15</v>
      </c>
      <c r="D150">
        <v>72.2</v>
      </c>
      <c r="E150">
        <v>83</v>
      </c>
      <c r="F150">
        <v>46</v>
      </c>
      <c r="G150" t="str">
        <f t="shared" si="16"/>
        <v>PASS</v>
      </c>
      <c r="H150" t="str">
        <f t="shared" si="17"/>
        <v>E</v>
      </c>
      <c r="I150" t="str">
        <f t="shared" si="18"/>
        <v>Average</v>
      </c>
      <c r="J150">
        <f t="shared" si="19"/>
        <v>95</v>
      </c>
      <c r="K150">
        <f t="shared" si="20"/>
        <v>55.98</v>
      </c>
      <c r="L150">
        <f t="shared" si="21"/>
        <v>20</v>
      </c>
      <c r="M150">
        <f t="shared" si="22"/>
        <v>462</v>
      </c>
      <c r="N150">
        <f t="shared" si="23"/>
        <v>38</v>
      </c>
    </row>
    <row r="151" spans="1:14">
      <c r="A151" t="s">
        <v>157</v>
      </c>
      <c r="B151" t="s">
        <v>7</v>
      </c>
      <c r="C151">
        <v>19</v>
      </c>
      <c r="D151">
        <v>67.3</v>
      </c>
      <c r="E151">
        <v>69</v>
      </c>
      <c r="F151">
        <v>27</v>
      </c>
      <c r="G151" t="str">
        <f t="shared" si="16"/>
        <v>FAIL</v>
      </c>
      <c r="H151" t="str">
        <f t="shared" si="17"/>
        <v>E</v>
      </c>
      <c r="I151" t="str">
        <f t="shared" si="18"/>
        <v>Poor</v>
      </c>
      <c r="J151">
        <f t="shared" si="19"/>
        <v>95</v>
      </c>
      <c r="K151">
        <f t="shared" si="20"/>
        <v>55.98</v>
      </c>
      <c r="L151">
        <f t="shared" si="21"/>
        <v>20</v>
      </c>
      <c r="M151">
        <f t="shared" si="22"/>
        <v>462</v>
      </c>
      <c r="N151">
        <f t="shared" si="23"/>
        <v>38</v>
      </c>
    </row>
    <row r="152" spans="1:14">
      <c r="A152" t="s">
        <v>158</v>
      </c>
      <c r="B152" t="s">
        <v>7</v>
      </c>
      <c r="C152">
        <v>18</v>
      </c>
      <c r="D152">
        <v>52.7</v>
      </c>
      <c r="E152">
        <v>47</v>
      </c>
      <c r="F152">
        <v>65</v>
      </c>
      <c r="G152" t="str">
        <f t="shared" si="16"/>
        <v>PASS</v>
      </c>
      <c r="H152" t="str">
        <f t="shared" si="17"/>
        <v>C</v>
      </c>
      <c r="I152" t="str">
        <f t="shared" si="18"/>
        <v>Good</v>
      </c>
      <c r="J152">
        <f t="shared" si="19"/>
        <v>95</v>
      </c>
      <c r="K152">
        <f t="shared" si="20"/>
        <v>55.98</v>
      </c>
      <c r="L152">
        <f t="shared" si="21"/>
        <v>20</v>
      </c>
      <c r="M152">
        <f t="shared" si="22"/>
        <v>462</v>
      </c>
      <c r="N152">
        <f t="shared" si="23"/>
        <v>38</v>
      </c>
    </row>
    <row r="153" spans="1:14">
      <c r="A153" t="s">
        <v>159</v>
      </c>
      <c r="B153" t="s">
        <v>9</v>
      </c>
      <c r="C153">
        <v>17</v>
      </c>
      <c r="D153">
        <v>56</v>
      </c>
      <c r="E153">
        <v>46</v>
      </c>
      <c r="F153">
        <v>41</v>
      </c>
      <c r="G153" t="str">
        <f t="shared" si="16"/>
        <v>PASS</v>
      </c>
      <c r="H153" t="str">
        <f t="shared" si="17"/>
        <v>E</v>
      </c>
      <c r="I153" t="str">
        <f t="shared" si="18"/>
        <v>Average</v>
      </c>
      <c r="J153">
        <f t="shared" si="19"/>
        <v>95</v>
      </c>
      <c r="K153">
        <f t="shared" si="20"/>
        <v>55.98</v>
      </c>
      <c r="L153">
        <f t="shared" si="21"/>
        <v>20</v>
      </c>
      <c r="M153">
        <f t="shared" si="22"/>
        <v>462</v>
      </c>
      <c r="N153">
        <f t="shared" si="23"/>
        <v>38</v>
      </c>
    </row>
    <row r="154" spans="1:14">
      <c r="A154" t="s">
        <v>160</v>
      </c>
      <c r="B154" t="s">
        <v>7</v>
      </c>
      <c r="C154">
        <v>19</v>
      </c>
      <c r="D154">
        <v>91.7</v>
      </c>
      <c r="E154">
        <v>35</v>
      </c>
      <c r="F154">
        <v>61</v>
      </c>
      <c r="G154" t="str">
        <f t="shared" si="16"/>
        <v>PASS</v>
      </c>
      <c r="H154" t="str">
        <f t="shared" si="17"/>
        <v>C</v>
      </c>
      <c r="I154" t="str">
        <f t="shared" si="18"/>
        <v>Good</v>
      </c>
      <c r="J154">
        <f t="shared" si="19"/>
        <v>95</v>
      </c>
      <c r="K154">
        <f t="shared" si="20"/>
        <v>55.98</v>
      </c>
      <c r="L154">
        <f t="shared" si="21"/>
        <v>20</v>
      </c>
      <c r="M154">
        <f t="shared" si="22"/>
        <v>462</v>
      </c>
      <c r="N154">
        <f t="shared" si="23"/>
        <v>38</v>
      </c>
    </row>
    <row r="155" spans="1:14">
      <c r="A155" t="s">
        <v>161</v>
      </c>
      <c r="B155" t="s">
        <v>7</v>
      </c>
      <c r="C155">
        <v>18</v>
      </c>
      <c r="D155">
        <v>93.1</v>
      </c>
      <c r="E155">
        <v>83</v>
      </c>
      <c r="F155">
        <v>44</v>
      </c>
      <c r="G155" t="str">
        <f t="shared" si="16"/>
        <v>PASS</v>
      </c>
      <c r="H155" t="str">
        <f t="shared" si="17"/>
        <v>E</v>
      </c>
      <c r="I155" t="str">
        <f t="shared" si="18"/>
        <v>Average</v>
      </c>
      <c r="J155">
        <f t="shared" si="19"/>
        <v>95</v>
      </c>
      <c r="K155">
        <f t="shared" si="20"/>
        <v>55.98</v>
      </c>
      <c r="L155">
        <f t="shared" si="21"/>
        <v>20</v>
      </c>
      <c r="M155">
        <f t="shared" si="22"/>
        <v>462</v>
      </c>
      <c r="N155">
        <f t="shared" si="23"/>
        <v>38</v>
      </c>
    </row>
    <row r="156" spans="1:14">
      <c r="A156" t="s">
        <v>162</v>
      </c>
      <c r="B156" t="s">
        <v>7</v>
      </c>
      <c r="C156">
        <v>18</v>
      </c>
      <c r="D156">
        <v>98.3</v>
      </c>
      <c r="E156">
        <v>41</v>
      </c>
      <c r="F156">
        <v>38</v>
      </c>
      <c r="G156" t="str">
        <f t="shared" si="16"/>
        <v>PASS</v>
      </c>
      <c r="H156" t="str">
        <f t="shared" si="17"/>
        <v>E</v>
      </c>
      <c r="I156" t="str">
        <f t="shared" si="18"/>
        <v>Poor</v>
      </c>
      <c r="J156">
        <f t="shared" si="19"/>
        <v>95</v>
      </c>
      <c r="K156">
        <f t="shared" si="20"/>
        <v>55.98</v>
      </c>
      <c r="L156">
        <f t="shared" si="21"/>
        <v>20</v>
      </c>
      <c r="M156">
        <f t="shared" si="22"/>
        <v>462</v>
      </c>
      <c r="N156">
        <f t="shared" si="23"/>
        <v>38</v>
      </c>
    </row>
    <row r="157" spans="1:14">
      <c r="A157" t="s">
        <v>163</v>
      </c>
      <c r="B157" t="s">
        <v>7</v>
      </c>
      <c r="C157">
        <v>16</v>
      </c>
      <c r="D157">
        <v>79.400000000000006</v>
      </c>
      <c r="E157">
        <v>69</v>
      </c>
      <c r="F157">
        <v>68</v>
      </c>
      <c r="G157" t="str">
        <f t="shared" si="16"/>
        <v>PASS</v>
      </c>
      <c r="H157" t="str">
        <f t="shared" si="17"/>
        <v>C</v>
      </c>
      <c r="I157" t="str">
        <f t="shared" si="18"/>
        <v>Good</v>
      </c>
      <c r="J157">
        <f t="shared" si="19"/>
        <v>95</v>
      </c>
      <c r="K157">
        <f t="shared" si="20"/>
        <v>55.98</v>
      </c>
      <c r="L157">
        <f t="shared" si="21"/>
        <v>20</v>
      </c>
      <c r="M157">
        <f t="shared" si="22"/>
        <v>462</v>
      </c>
      <c r="N157">
        <f t="shared" si="23"/>
        <v>38</v>
      </c>
    </row>
    <row r="158" spans="1:14">
      <c r="A158" t="s">
        <v>164</v>
      </c>
      <c r="B158" t="s">
        <v>9</v>
      </c>
      <c r="C158">
        <v>16</v>
      </c>
      <c r="D158">
        <v>89</v>
      </c>
      <c r="E158">
        <v>74</v>
      </c>
      <c r="F158">
        <v>55</v>
      </c>
      <c r="G158" t="str">
        <f t="shared" si="16"/>
        <v>PASS</v>
      </c>
      <c r="H158" t="str">
        <f t="shared" si="17"/>
        <v>D</v>
      </c>
      <c r="I158" t="str">
        <f t="shared" si="18"/>
        <v>Average</v>
      </c>
      <c r="J158">
        <f t="shared" si="19"/>
        <v>95</v>
      </c>
      <c r="K158">
        <f t="shared" si="20"/>
        <v>55.98</v>
      </c>
      <c r="L158">
        <f t="shared" si="21"/>
        <v>20</v>
      </c>
      <c r="M158">
        <f t="shared" si="22"/>
        <v>462</v>
      </c>
      <c r="N158">
        <f t="shared" si="23"/>
        <v>38</v>
      </c>
    </row>
    <row r="159" spans="1:14">
      <c r="A159" t="s">
        <v>165</v>
      </c>
      <c r="B159" t="s">
        <v>7</v>
      </c>
      <c r="C159">
        <v>16</v>
      </c>
      <c r="D159">
        <v>57.3</v>
      </c>
      <c r="E159">
        <v>39</v>
      </c>
      <c r="F159">
        <v>22</v>
      </c>
      <c r="G159" t="str">
        <f t="shared" si="16"/>
        <v>FAIL</v>
      </c>
      <c r="H159" t="str">
        <f t="shared" si="17"/>
        <v>E</v>
      </c>
      <c r="I159" t="str">
        <f t="shared" si="18"/>
        <v>Poor</v>
      </c>
      <c r="J159">
        <f t="shared" si="19"/>
        <v>95</v>
      </c>
      <c r="K159">
        <f t="shared" si="20"/>
        <v>55.98</v>
      </c>
      <c r="L159">
        <f t="shared" si="21"/>
        <v>20</v>
      </c>
      <c r="M159">
        <f t="shared" si="22"/>
        <v>462</v>
      </c>
      <c r="N159">
        <f t="shared" si="23"/>
        <v>38</v>
      </c>
    </row>
    <row r="160" spans="1:14">
      <c r="A160" t="s">
        <v>166</v>
      </c>
      <c r="B160" t="s">
        <v>9</v>
      </c>
      <c r="C160">
        <v>18</v>
      </c>
      <c r="D160">
        <v>78.2</v>
      </c>
      <c r="E160">
        <v>70</v>
      </c>
      <c r="F160">
        <v>65</v>
      </c>
      <c r="G160" t="str">
        <f t="shared" si="16"/>
        <v>PASS</v>
      </c>
      <c r="H160" t="str">
        <f t="shared" si="17"/>
        <v>C</v>
      </c>
      <c r="I160" t="str">
        <f t="shared" si="18"/>
        <v>Good</v>
      </c>
      <c r="J160">
        <f t="shared" si="19"/>
        <v>95</v>
      </c>
      <c r="K160">
        <f t="shared" si="20"/>
        <v>55.98</v>
      </c>
      <c r="L160">
        <f t="shared" si="21"/>
        <v>20</v>
      </c>
      <c r="M160">
        <f t="shared" si="22"/>
        <v>462</v>
      </c>
      <c r="N160">
        <f t="shared" si="23"/>
        <v>38</v>
      </c>
    </row>
    <row r="161" spans="1:14">
      <c r="A161" t="s">
        <v>167</v>
      </c>
      <c r="B161" t="s">
        <v>9</v>
      </c>
      <c r="C161">
        <v>15</v>
      </c>
      <c r="D161">
        <v>72.099999999999994</v>
      </c>
      <c r="E161">
        <v>75</v>
      </c>
      <c r="F161">
        <v>63</v>
      </c>
      <c r="G161" t="str">
        <f t="shared" si="16"/>
        <v>PASS</v>
      </c>
      <c r="H161" t="str">
        <f t="shared" si="17"/>
        <v>C</v>
      </c>
      <c r="I161" t="str">
        <f t="shared" si="18"/>
        <v>Good</v>
      </c>
      <c r="J161">
        <f t="shared" si="19"/>
        <v>95</v>
      </c>
      <c r="K161">
        <f t="shared" si="20"/>
        <v>55.98</v>
      </c>
      <c r="L161">
        <f t="shared" si="21"/>
        <v>20</v>
      </c>
      <c r="M161">
        <f t="shared" si="22"/>
        <v>462</v>
      </c>
      <c r="N161">
        <f t="shared" si="23"/>
        <v>38</v>
      </c>
    </row>
    <row r="162" spans="1:14">
      <c r="A162" t="s">
        <v>168</v>
      </c>
      <c r="B162" t="s">
        <v>7</v>
      </c>
      <c r="C162">
        <v>17</v>
      </c>
      <c r="D162">
        <v>72.599999999999994</v>
      </c>
      <c r="E162">
        <v>39</v>
      </c>
      <c r="F162">
        <v>58</v>
      </c>
      <c r="G162" t="str">
        <f t="shared" si="16"/>
        <v>PASS</v>
      </c>
      <c r="H162" t="str">
        <f t="shared" si="17"/>
        <v>D</v>
      </c>
      <c r="I162" t="str">
        <f t="shared" si="18"/>
        <v>Average</v>
      </c>
      <c r="J162">
        <f t="shared" si="19"/>
        <v>95</v>
      </c>
      <c r="K162">
        <f t="shared" si="20"/>
        <v>55.98</v>
      </c>
      <c r="L162">
        <f t="shared" si="21"/>
        <v>20</v>
      </c>
      <c r="M162">
        <f t="shared" si="22"/>
        <v>462</v>
      </c>
      <c r="N162">
        <f t="shared" si="23"/>
        <v>38</v>
      </c>
    </row>
    <row r="163" spans="1:14">
      <c r="A163" t="s">
        <v>169</v>
      </c>
      <c r="B163" t="s">
        <v>7</v>
      </c>
      <c r="C163">
        <v>19</v>
      </c>
      <c r="D163">
        <v>75.400000000000006</v>
      </c>
      <c r="E163">
        <v>54</v>
      </c>
      <c r="F163">
        <v>59</v>
      </c>
      <c r="G163" t="str">
        <f t="shared" si="16"/>
        <v>PASS</v>
      </c>
      <c r="H163" t="str">
        <f t="shared" si="17"/>
        <v>D</v>
      </c>
      <c r="I163" t="str">
        <f t="shared" si="18"/>
        <v>Average</v>
      </c>
      <c r="J163">
        <f t="shared" si="19"/>
        <v>95</v>
      </c>
      <c r="K163">
        <f t="shared" si="20"/>
        <v>55.98</v>
      </c>
      <c r="L163">
        <f t="shared" si="21"/>
        <v>20</v>
      </c>
      <c r="M163">
        <f t="shared" si="22"/>
        <v>462</v>
      </c>
      <c r="N163">
        <f t="shared" si="23"/>
        <v>38</v>
      </c>
    </row>
    <row r="164" spans="1:14">
      <c r="A164" t="s">
        <v>170</v>
      </c>
      <c r="B164" t="s">
        <v>9</v>
      </c>
      <c r="C164">
        <v>19</v>
      </c>
      <c r="D164">
        <v>97.9</v>
      </c>
      <c r="E164">
        <v>40</v>
      </c>
      <c r="F164">
        <v>47</v>
      </c>
      <c r="G164" t="str">
        <f t="shared" si="16"/>
        <v>PASS</v>
      </c>
      <c r="H164" t="str">
        <f t="shared" si="17"/>
        <v>E</v>
      </c>
      <c r="I164" t="str">
        <f t="shared" si="18"/>
        <v>Average</v>
      </c>
      <c r="J164">
        <f t="shared" si="19"/>
        <v>95</v>
      </c>
      <c r="K164">
        <f t="shared" si="20"/>
        <v>55.98</v>
      </c>
      <c r="L164">
        <f t="shared" si="21"/>
        <v>20</v>
      </c>
      <c r="M164">
        <f t="shared" si="22"/>
        <v>462</v>
      </c>
      <c r="N164">
        <f t="shared" si="23"/>
        <v>38</v>
      </c>
    </row>
    <row r="165" spans="1:14">
      <c r="A165" t="s">
        <v>171</v>
      </c>
      <c r="B165" t="s">
        <v>7</v>
      </c>
      <c r="C165">
        <v>15</v>
      </c>
      <c r="D165">
        <v>85.4</v>
      </c>
      <c r="E165">
        <v>77</v>
      </c>
      <c r="F165">
        <v>48</v>
      </c>
      <c r="G165" t="str">
        <f t="shared" si="16"/>
        <v>PASS</v>
      </c>
      <c r="H165" t="str">
        <f t="shared" si="17"/>
        <v>E</v>
      </c>
      <c r="I165" t="str">
        <f t="shared" si="18"/>
        <v>Average</v>
      </c>
      <c r="J165">
        <f t="shared" si="19"/>
        <v>95</v>
      </c>
      <c r="K165">
        <f t="shared" si="20"/>
        <v>55.98</v>
      </c>
      <c r="L165">
        <f t="shared" si="21"/>
        <v>20</v>
      </c>
      <c r="M165">
        <f t="shared" si="22"/>
        <v>462</v>
      </c>
      <c r="N165">
        <f t="shared" si="23"/>
        <v>38</v>
      </c>
    </row>
    <row r="166" spans="1:14">
      <c r="A166" t="s">
        <v>172</v>
      </c>
      <c r="B166" t="s">
        <v>9</v>
      </c>
      <c r="C166">
        <v>18</v>
      </c>
      <c r="D166">
        <v>66.900000000000006</v>
      </c>
      <c r="E166">
        <v>38</v>
      </c>
      <c r="F166">
        <v>61</v>
      </c>
      <c r="G166" t="str">
        <f t="shared" si="16"/>
        <v>PASS</v>
      </c>
      <c r="H166" t="str">
        <f t="shared" si="17"/>
        <v>C</v>
      </c>
      <c r="I166" t="str">
        <f t="shared" si="18"/>
        <v>Good</v>
      </c>
      <c r="J166">
        <f t="shared" si="19"/>
        <v>95</v>
      </c>
      <c r="K166">
        <f t="shared" si="20"/>
        <v>55.98</v>
      </c>
      <c r="L166">
        <f t="shared" si="21"/>
        <v>20</v>
      </c>
      <c r="M166">
        <f t="shared" si="22"/>
        <v>462</v>
      </c>
      <c r="N166">
        <f t="shared" si="23"/>
        <v>38</v>
      </c>
    </row>
    <row r="167" spans="1:14">
      <c r="A167" t="s">
        <v>173</v>
      </c>
      <c r="B167" t="s">
        <v>7</v>
      </c>
      <c r="C167">
        <v>19</v>
      </c>
      <c r="D167">
        <v>69.3</v>
      </c>
      <c r="E167">
        <v>40</v>
      </c>
      <c r="F167">
        <v>66</v>
      </c>
      <c r="G167" t="str">
        <f t="shared" si="16"/>
        <v>PASS</v>
      </c>
      <c r="H167" t="str">
        <f t="shared" si="17"/>
        <v>C</v>
      </c>
      <c r="I167" t="str">
        <f t="shared" si="18"/>
        <v>Good</v>
      </c>
      <c r="J167">
        <f t="shared" si="19"/>
        <v>95</v>
      </c>
      <c r="K167">
        <f t="shared" si="20"/>
        <v>55.98</v>
      </c>
      <c r="L167">
        <f t="shared" si="21"/>
        <v>20</v>
      </c>
      <c r="M167">
        <f t="shared" si="22"/>
        <v>462</v>
      </c>
      <c r="N167">
        <f t="shared" si="23"/>
        <v>38</v>
      </c>
    </row>
    <row r="168" spans="1:14">
      <c r="A168" t="s">
        <v>174</v>
      </c>
      <c r="B168" t="s">
        <v>7</v>
      </c>
      <c r="C168">
        <v>17</v>
      </c>
      <c r="D168">
        <v>98.4</v>
      </c>
      <c r="E168">
        <v>69</v>
      </c>
      <c r="F168">
        <v>61</v>
      </c>
      <c r="G168" t="str">
        <f t="shared" si="16"/>
        <v>PASS</v>
      </c>
      <c r="H168" t="str">
        <f t="shared" si="17"/>
        <v>C</v>
      </c>
      <c r="I168" t="str">
        <f t="shared" si="18"/>
        <v>Good</v>
      </c>
      <c r="J168">
        <f t="shared" si="19"/>
        <v>95</v>
      </c>
      <c r="K168">
        <f t="shared" si="20"/>
        <v>55.98</v>
      </c>
      <c r="L168">
        <f t="shared" si="21"/>
        <v>20</v>
      </c>
      <c r="M168">
        <f t="shared" si="22"/>
        <v>462</v>
      </c>
      <c r="N168">
        <f t="shared" si="23"/>
        <v>38</v>
      </c>
    </row>
    <row r="169" spans="1:14">
      <c r="A169" t="s">
        <v>175</v>
      </c>
      <c r="B169" t="s">
        <v>9</v>
      </c>
      <c r="C169">
        <v>17</v>
      </c>
      <c r="D169">
        <v>56.4</v>
      </c>
      <c r="E169">
        <v>95</v>
      </c>
      <c r="F169">
        <v>73</v>
      </c>
      <c r="G169" t="str">
        <f t="shared" si="16"/>
        <v>PASS</v>
      </c>
      <c r="H169" t="str">
        <f t="shared" si="17"/>
        <v>C</v>
      </c>
      <c r="I169" t="str">
        <f t="shared" si="18"/>
        <v>Good</v>
      </c>
      <c r="J169">
        <f t="shared" si="19"/>
        <v>95</v>
      </c>
      <c r="K169">
        <f t="shared" si="20"/>
        <v>55.98</v>
      </c>
      <c r="L169">
        <f t="shared" si="21"/>
        <v>20</v>
      </c>
      <c r="M169">
        <f t="shared" si="22"/>
        <v>462</v>
      </c>
      <c r="N169">
        <f t="shared" si="23"/>
        <v>38</v>
      </c>
    </row>
    <row r="170" spans="1:14">
      <c r="A170" t="s">
        <v>176</v>
      </c>
      <c r="B170" t="s">
        <v>7</v>
      </c>
      <c r="C170">
        <v>17</v>
      </c>
      <c r="D170">
        <v>59</v>
      </c>
      <c r="E170">
        <v>54</v>
      </c>
      <c r="F170">
        <v>37</v>
      </c>
      <c r="G170" t="str">
        <f t="shared" si="16"/>
        <v>PASS</v>
      </c>
      <c r="H170" t="str">
        <f t="shared" si="17"/>
        <v>E</v>
      </c>
      <c r="I170" t="str">
        <f t="shared" si="18"/>
        <v>Poor</v>
      </c>
      <c r="J170">
        <f t="shared" si="19"/>
        <v>95</v>
      </c>
      <c r="K170">
        <f t="shared" si="20"/>
        <v>55.98</v>
      </c>
      <c r="L170">
        <f t="shared" si="21"/>
        <v>20</v>
      </c>
      <c r="M170">
        <f t="shared" si="22"/>
        <v>462</v>
      </c>
      <c r="N170">
        <f t="shared" si="23"/>
        <v>38</v>
      </c>
    </row>
    <row r="171" spans="1:14">
      <c r="A171" t="s">
        <v>177</v>
      </c>
      <c r="B171" t="s">
        <v>7</v>
      </c>
      <c r="C171">
        <v>16</v>
      </c>
      <c r="D171">
        <v>64.8</v>
      </c>
      <c r="E171">
        <v>46</v>
      </c>
      <c r="F171">
        <v>38</v>
      </c>
      <c r="G171" t="str">
        <f t="shared" si="16"/>
        <v>PASS</v>
      </c>
      <c r="H171" t="str">
        <f t="shared" si="17"/>
        <v>E</v>
      </c>
      <c r="I171" t="str">
        <f t="shared" si="18"/>
        <v>Poor</v>
      </c>
      <c r="J171">
        <f t="shared" si="19"/>
        <v>95</v>
      </c>
      <c r="K171">
        <f t="shared" si="20"/>
        <v>55.98</v>
      </c>
      <c r="L171">
        <f t="shared" si="21"/>
        <v>20</v>
      </c>
      <c r="M171">
        <f t="shared" si="22"/>
        <v>462</v>
      </c>
      <c r="N171">
        <f t="shared" si="23"/>
        <v>38</v>
      </c>
    </row>
    <row r="172" spans="1:14">
      <c r="A172" t="s">
        <v>178</v>
      </c>
      <c r="B172" t="s">
        <v>9</v>
      </c>
      <c r="C172">
        <v>16</v>
      </c>
      <c r="D172">
        <v>59</v>
      </c>
      <c r="E172">
        <v>35</v>
      </c>
      <c r="F172">
        <v>33</v>
      </c>
      <c r="G172" t="str">
        <f t="shared" si="16"/>
        <v>FAIL</v>
      </c>
      <c r="H172" t="str">
        <f t="shared" si="17"/>
        <v>E</v>
      </c>
      <c r="I172" t="str">
        <f t="shared" si="18"/>
        <v>Poor</v>
      </c>
      <c r="J172">
        <f t="shared" si="19"/>
        <v>95</v>
      </c>
      <c r="K172">
        <f t="shared" si="20"/>
        <v>55.98</v>
      </c>
      <c r="L172">
        <f t="shared" si="21"/>
        <v>20</v>
      </c>
      <c r="M172">
        <f t="shared" si="22"/>
        <v>462</v>
      </c>
      <c r="N172">
        <f t="shared" si="23"/>
        <v>38</v>
      </c>
    </row>
    <row r="173" spans="1:14">
      <c r="A173" t="s">
        <v>179</v>
      </c>
      <c r="B173" t="s">
        <v>9</v>
      </c>
      <c r="C173">
        <v>16</v>
      </c>
      <c r="D173">
        <v>80.5</v>
      </c>
      <c r="E173">
        <v>69</v>
      </c>
      <c r="F173">
        <v>71</v>
      </c>
      <c r="G173" t="str">
        <f t="shared" si="16"/>
        <v>PASS</v>
      </c>
      <c r="H173" t="str">
        <f t="shared" si="17"/>
        <v>C</v>
      </c>
      <c r="I173" t="str">
        <f t="shared" si="18"/>
        <v>Good</v>
      </c>
      <c r="J173">
        <f t="shared" si="19"/>
        <v>95</v>
      </c>
      <c r="K173">
        <f t="shared" si="20"/>
        <v>55.98</v>
      </c>
      <c r="L173">
        <f t="shared" si="21"/>
        <v>20</v>
      </c>
      <c r="M173">
        <f t="shared" si="22"/>
        <v>462</v>
      </c>
      <c r="N173">
        <f t="shared" si="23"/>
        <v>38</v>
      </c>
    </row>
    <row r="174" spans="1:14">
      <c r="A174" t="s">
        <v>180</v>
      </c>
      <c r="B174" t="s">
        <v>9</v>
      </c>
      <c r="C174">
        <v>16</v>
      </c>
      <c r="D174">
        <v>83.9</v>
      </c>
      <c r="E174">
        <v>66</v>
      </c>
      <c r="F174">
        <v>66</v>
      </c>
      <c r="G174" t="str">
        <f t="shared" si="16"/>
        <v>PASS</v>
      </c>
      <c r="H174" t="str">
        <f t="shared" si="17"/>
        <v>C</v>
      </c>
      <c r="I174" t="str">
        <f t="shared" si="18"/>
        <v>Good</v>
      </c>
      <c r="J174">
        <f t="shared" si="19"/>
        <v>95</v>
      </c>
      <c r="K174">
        <f t="shared" si="20"/>
        <v>55.98</v>
      </c>
      <c r="L174">
        <f t="shared" si="21"/>
        <v>20</v>
      </c>
      <c r="M174">
        <f t="shared" si="22"/>
        <v>462</v>
      </c>
      <c r="N174">
        <f t="shared" si="23"/>
        <v>38</v>
      </c>
    </row>
    <row r="175" spans="1:14">
      <c r="A175" t="s">
        <v>181</v>
      </c>
      <c r="B175" t="s">
        <v>9</v>
      </c>
      <c r="C175">
        <v>19</v>
      </c>
      <c r="D175">
        <v>70.900000000000006</v>
      </c>
      <c r="E175">
        <v>62</v>
      </c>
      <c r="F175">
        <v>46</v>
      </c>
      <c r="G175" t="str">
        <f t="shared" si="16"/>
        <v>PASS</v>
      </c>
      <c r="H175" t="str">
        <f t="shared" si="17"/>
        <v>E</v>
      </c>
      <c r="I175" t="str">
        <f t="shared" si="18"/>
        <v>Average</v>
      </c>
      <c r="J175">
        <f t="shared" si="19"/>
        <v>95</v>
      </c>
      <c r="K175">
        <f t="shared" si="20"/>
        <v>55.98</v>
      </c>
      <c r="L175">
        <f t="shared" si="21"/>
        <v>20</v>
      </c>
      <c r="M175">
        <f t="shared" si="22"/>
        <v>462</v>
      </c>
      <c r="N175">
        <f t="shared" si="23"/>
        <v>38</v>
      </c>
    </row>
    <row r="176" spans="1:14">
      <c r="A176" t="s">
        <v>182</v>
      </c>
      <c r="B176" t="s">
        <v>9</v>
      </c>
      <c r="C176">
        <v>17</v>
      </c>
      <c r="D176">
        <v>96.7</v>
      </c>
      <c r="E176">
        <v>40</v>
      </c>
      <c r="F176">
        <v>74</v>
      </c>
      <c r="G176" t="str">
        <f t="shared" si="16"/>
        <v>PASS</v>
      </c>
      <c r="H176" t="str">
        <f t="shared" si="17"/>
        <v>C</v>
      </c>
      <c r="I176" t="str">
        <f t="shared" si="18"/>
        <v>Good</v>
      </c>
      <c r="J176">
        <f t="shared" si="19"/>
        <v>95</v>
      </c>
      <c r="K176">
        <f t="shared" si="20"/>
        <v>55.98</v>
      </c>
      <c r="L176">
        <f t="shared" si="21"/>
        <v>20</v>
      </c>
      <c r="M176">
        <f t="shared" si="22"/>
        <v>462</v>
      </c>
      <c r="N176">
        <f t="shared" si="23"/>
        <v>38</v>
      </c>
    </row>
    <row r="177" spans="1:14">
      <c r="A177" t="s">
        <v>183</v>
      </c>
      <c r="B177" t="s">
        <v>7</v>
      </c>
      <c r="C177">
        <v>17</v>
      </c>
      <c r="D177">
        <v>95.3</v>
      </c>
      <c r="E177">
        <v>58</v>
      </c>
      <c r="F177">
        <v>63</v>
      </c>
      <c r="G177" t="str">
        <f t="shared" si="16"/>
        <v>PASS</v>
      </c>
      <c r="H177" t="str">
        <f t="shared" si="17"/>
        <v>C</v>
      </c>
      <c r="I177" t="str">
        <f t="shared" si="18"/>
        <v>Good</v>
      </c>
      <c r="J177">
        <f t="shared" si="19"/>
        <v>95</v>
      </c>
      <c r="K177">
        <f t="shared" si="20"/>
        <v>55.98</v>
      </c>
      <c r="L177">
        <f t="shared" si="21"/>
        <v>20</v>
      </c>
      <c r="M177">
        <f t="shared" si="22"/>
        <v>462</v>
      </c>
      <c r="N177">
        <f t="shared" si="23"/>
        <v>38</v>
      </c>
    </row>
    <row r="178" spans="1:14">
      <c r="A178" t="s">
        <v>184</v>
      </c>
      <c r="B178" t="s">
        <v>9</v>
      </c>
      <c r="C178">
        <v>15</v>
      </c>
      <c r="D178">
        <v>52.7</v>
      </c>
      <c r="E178">
        <v>79</v>
      </c>
      <c r="F178">
        <v>41</v>
      </c>
      <c r="G178" t="str">
        <f t="shared" si="16"/>
        <v>PASS</v>
      </c>
      <c r="H178" t="str">
        <f t="shared" si="17"/>
        <v>E</v>
      </c>
      <c r="I178" t="str">
        <f t="shared" si="18"/>
        <v>Average</v>
      </c>
      <c r="J178">
        <f t="shared" si="19"/>
        <v>95</v>
      </c>
      <c r="K178">
        <f t="shared" si="20"/>
        <v>55.98</v>
      </c>
      <c r="L178">
        <f t="shared" si="21"/>
        <v>20</v>
      </c>
      <c r="M178">
        <f t="shared" si="22"/>
        <v>462</v>
      </c>
      <c r="N178">
        <f t="shared" si="23"/>
        <v>38</v>
      </c>
    </row>
    <row r="179" spans="1:14">
      <c r="A179" t="s">
        <v>185</v>
      </c>
      <c r="B179" t="s">
        <v>9</v>
      </c>
      <c r="C179">
        <v>16</v>
      </c>
      <c r="D179">
        <v>65.900000000000006</v>
      </c>
      <c r="E179">
        <v>47</v>
      </c>
      <c r="F179">
        <v>20</v>
      </c>
      <c r="G179" t="str">
        <f t="shared" si="16"/>
        <v>FAIL</v>
      </c>
      <c r="H179" t="str">
        <f t="shared" si="17"/>
        <v>E</v>
      </c>
      <c r="I179" t="str">
        <f t="shared" si="18"/>
        <v>Poor</v>
      </c>
      <c r="J179">
        <f t="shared" si="19"/>
        <v>95</v>
      </c>
      <c r="K179">
        <f t="shared" si="20"/>
        <v>55.98</v>
      </c>
      <c r="L179">
        <f t="shared" si="21"/>
        <v>20</v>
      </c>
      <c r="M179">
        <f t="shared" si="22"/>
        <v>462</v>
      </c>
      <c r="N179">
        <f t="shared" si="23"/>
        <v>38</v>
      </c>
    </row>
    <row r="180" spans="1:14">
      <c r="A180" t="s">
        <v>186</v>
      </c>
      <c r="B180" t="s">
        <v>9</v>
      </c>
      <c r="C180">
        <v>18</v>
      </c>
      <c r="D180">
        <v>91.6</v>
      </c>
      <c r="E180">
        <v>40</v>
      </c>
      <c r="F180">
        <v>56</v>
      </c>
      <c r="G180" t="str">
        <f t="shared" si="16"/>
        <v>PASS</v>
      </c>
      <c r="H180" t="str">
        <f t="shared" si="17"/>
        <v>D</v>
      </c>
      <c r="I180" t="str">
        <f t="shared" si="18"/>
        <v>Average</v>
      </c>
      <c r="J180">
        <f t="shared" si="19"/>
        <v>95</v>
      </c>
      <c r="K180">
        <f t="shared" si="20"/>
        <v>55.98</v>
      </c>
      <c r="L180">
        <f t="shared" si="21"/>
        <v>20</v>
      </c>
      <c r="M180">
        <f t="shared" si="22"/>
        <v>462</v>
      </c>
      <c r="N180">
        <f t="shared" si="23"/>
        <v>38</v>
      </c>
    </row>
    <row r="181" spans="1:14">
      <c r="A181" t="s">
        <v>187</v>
      </c>
      <c r="B181" t="s">
        <v>9</v>
      </c>
      <c r="C181">
        <v>16</v>
      </c>
      <c r="D181">
        <v>57.5</v>
      </c>
      <c r="E181">
        <v>66</v>
      </c>
      <c r="F181">
        <v>64</v>
      </c>
      <c r="G181" t="str">
        <f t="shared" si="16"/>
        <v>PASS</v>
      </c>
      <c r="H181" t="str">
        <f t="shared" si="17"/>
        <v>C</v>
      </c>
      <c r="I181" t="str">
        <f t="shared" si="18"/>
        <v>Good</v>
      </c>
      <c r="J181">
        <f t="shared" si="19"/>
        <v>95</v>
      </c>
      <c r="K181">
        <f t="shared" si="20"/>
        <v>55.98</v>
      </c>
      <c r="L181">
        <f t="shared" si="21"/>
        <v>20</v>
      </c>
      <c r="M181">
        <f t="shared" si="22"/>
        <v>462</v>
      </c>
      <c r="N181">
        <f t="shared" si="23"/>
        <v>38</v>
      </c>
    </row>
    <row r="182" spans="1:14">
      <c r="A182" t="s">
        <v>188</v>
      </c>
      <c r="B182" t="s">
        <v>9</v>
      </c>
      <c r="C182">
        <v>15</v>
      </c>
      <c r="D182">
        <v>61.9</v>
      </c>
      <c r="E182">
        <v>44</v>
      </c>
      <c r="F182">
        <v>31</v>
      </c>
      <c r="G182" t="str">
        <f t="shared" si="16"/>
        <v>FAIL</v>
      </c>
      <c r="H182" t="str">
        <f t="shared" si="17"/>
        <v>E</v>
      </c>
      <c r="I182" t="str">
        <f t="shared" si="18"/>
        <v>Poor</v>
      </c>
      <c r="J182">
        <f t="shared" si="19"/>
        <v>95</v>
      </c>
      <c r="K182">
        <f t="shared" si="20"/>
        <v>55.98</v>
      </c>
      <c r="L182">
        <f t="shared" si="21"/>
        <v>20</v>
      </c>
      <c r="M182">
        <f t="shared" si="22"/>
        <v>462</v>
      </c>
      <c r="N182">
        <f t="shared" si="23"/>
        <v>38</v>
      </c>
    </row>
    <row r="183" spans="1:14">
      <c r="A183" t="s">
        <v>189</v>
      </c>
      <c r="B183" t="s">
        <v>7</v>
      </c>
      <c r="C183">
        <v>19</v>
      </c>
      <c r="D183">
        <v>62.1</v>
      </c>
      <c r="E183">
        <v>30</v>
      </c>
      <c r="F183">
        <v>58</v>
      </c>
      <c r="G183" t="str">
        <f t="shared" si="16"/>
        <v>PASS</v>
      </c>
      <c r="H183" t="str">
        <f t="shared" si="17"/>
        <v>D</v>
      </c>
      <c r="I183" t="str">
        <f t="shared" si="18"/>
        <v>Average</v>
      </c>
      <c r="J183">
        <f t="shared" si="19"/>
        <v>95</v>
      </c>
      <c r="K183">
        <f t="shared" si="20"/>
        <v>55.98</v>
      </c>
      <c r="L183">
        <f t="shared" si="21"/>
        <v>20</v>
      </c>
      <c r="M183">
        <f t="shared" si="22"/>
        <v>462</v>
      </c>
      <c r="N183">
        <f t="shared" si="23"/>
        <v>38</v>
      </c>
    </row>
    <row r="184" spans="1:14">
      <c r="A184" t="s">
        <v>190</v>
      </c>
      <c r="B184" t="s">
        <v>9</v>
      </c>
      <c r="C184">
        <v>16</v>
      </c>
      <c r="D184">
        <v>70.8</v>
      </c>
      <c r="E184">
        <v>94</v>
      </c>
      <c r="F184">
        <v>80</v>
      </c>
      <c r="G184" t="str">
        <f t="shared" si="16"/>
        <v>PASS</v>
      </c>
      <c r="H184" t="str">
        <f t="shared" si="17"/>
        <v>B</v>
      </c>
      <c r="I184" t="str">
        <f t="shared" si="18"/>
        <v>Excellent</v>
      </c>
      <c r="J184">
        <f t="shared" si="19"/>
        <v>95</v>
      </c>
      <c r="K184">
        <f t="shared" si="20"/>
        <v>55.98</v>
      </c>
      <c r="L184">
        <f t="shared" si="21"/>
        <v>20</v>
      </c>
      <c r="M184">
        <f t="shared" si="22"/>
        <v>462</v>
      </c>
      <c r="N184">
        <f t="shared" si="23"/>
        <v>38</v>
      </c>
    </row>
    <row r="185" spans="1:14">
      <c r="A185" t="s">
        <v>191</v>
      </c>
      <c r="B185" t="s">
        <v>7</v>
      </c>
      <c r="C185">
        <v>18</v>
      </c>
      <c r="D185">
        <v>73.5</v>
      </c>
      <c r="E185">
        <v>32</v>
      </c>
      <c r="F185">
        <v>67</v>
      </c>
      <c r="G185" t="str">
        <f t="shared" si="16"/>
        <v>PASS</v>
      </c>
      <c r="H185" t="str">
        <f t="shared" si="17"/>
        <v>C</v>
      </c>
      <c r="I185" t="str">
        <f t="shared" si="18"/>
        <v>Good</v>
      </c>
      <c r="J185">
        <f t="shared" si="19"/>
        <v>95</v>
      </c>
      <c r="K185">
        <f t="shared" si="20"/>
        <v>55.98</v>
      </c>
      <c r="L185">
        <f t="shared" si="21"/>
        <v>20</v>
      </c>
      <c r="M185">
        <f t="shared" si="22"/>
        <v>462</v>
      </c>
      <c r="N185">
        <f t="shared" si="23"/>
        <v>38</v>
      </c>
    </row>
    <row r="186" spans="1:14">
      <c r="A186" t="s">
        <v>192</v>
      </c>
      <c r="B186" t="s">
        <v>7</v>
      </c>
      <c r="C186">
        <v>17</v>
      </c>
      <c r="D186">
        <v>86.6</v>
      </c>
      <c r="E186">
        <v>35</v>
      </c>
      <c r="F186">
        <v>42</v>
      </c>
      <c r="G186" t="str">
        <f t="shared" si="16"/>
        <v>PASS</v>
      </c>
      <c r="H186" t="str">
        <f t="shared" si="17"/>
        <v>E</v>
      </c>
      <c r="I186" t="str">
        <f t="shared" si="18"/>
        <v>Average</v>
      </c>
      <c r="J186">
        <f t="shared" si="19"/>
        <v>95</v>
      </c>
      <c r="K186">
        <f t="shared" si="20"/>
        <v>55.98</v>
      </c>
      <c r="L186">
        <f t="shared" si="21"/>
        <v>20</v>
      </c>
      <c r="M186">
        <f t="shared" si="22"/>
        <v>462</v>
      </c>
      <c r="N186">
        <f t="shared" si="23"/>
        <v>38</v>
      </c>
    </row>
    <row r="187" spans="1:14">
      <c r="A187" t="s">
        <v>193</v>
      </c>
      <c r="B187" t="s">
        <v>9</v>
      </c>
      <c r="C187">
        <v>16</v>
      </c>
      <c r="D187">
        <v>89</v>
      </c>
      <c r="E187">
        <v>47</v>
      </c>
      <c r="F187">
        <v>65</v>
      </c>
      <c r="G187" t="str">
        <f t="shared" si="16"/>
        <v>PASS</v>
      </c>
      <c r="H187" t="str">
        <f t="shared" si="17"/>
        <v>C</v>
      </c>
      <c r="I187" t="str">
        <f t="shared" si="18"/>
        <v>Good</v>
      </c>
      <c r="J187">
        <f t="shared" si="19"/>
        <v>95</v>
      </c>
      <c r="K187">
        <f t="shared" si="20"/>
        <v>55.98</v>
      </c>
      <c r="L187">
        <f t="shared" si="21"/>
        <v>20</v>
      </c>
      <c r="M187">
        <f t="shared" si="22"/>
        <v>462</v>
      </c>
      <c r="N187">
        <f t="shared" si="23"/>
        <v>38</v>
      </c>
    </row>
    <row r="188" spans="1:14">
      <c r="A188" t="s">
        <v>194</v>
      </c>
      <c r="B188" t="s">
        <v>9</v>
      </c>
      <c r="C188">
        <v>15</v>
      </c>
      <c r="D188">
        <v>60.1</v>
      </c>
      <c r="E188">
        <v>69</v>
      </c>
      <c r="F188">
        <v>49</v>
      </c>
      <c r="G188" t="str">
        <f t="shared" si="16"/>
        <v>PASS</v>
      </c>
      <c r="H188" t="str">
        <f t="shared" si="17"/>
        <v>E</v>
      </c>
      <c r="I188" t="str">
        <f t="shared" si="18"/>
        <v>Average</v>
      </c>
      <c r="J188">
        <f t="shared" si="19"/>
        <v>95</v>
      </c>
      <c r="K188">
        <f t="shared" si="20"/>
        <v>55.98</v>
      </c>
      <c r="L188">
        <f t="shared" si="21"/>
        <v>20</v>
      </c>
      <c r="M188">
        <f t="shared" si="22"/>
        <v>462</v>
      </c>
      <c r="N188">
        <f t="shared" si="23"/>
        <v>38</v>
      </c>
    </row>
    <row r="189" spans="1:14">
      <c r="A189" t="s">
        <v>195</v>
      </c>
      <c r="B189" t="s">
        <v>9</v>
      </c>
      <c r="C189">
        <v>19</v>
      </c>
      <c r="D189">
        <v>62.7</v>
      </c>
      <c r="E189">
        <v>36</v>
      </c>
      <c r="F189">
        <v>56</v>
      </c>
      <c r="G189" t="str">
        <f t="shared" si="16"/>
        <v>PASS</v>
      </c>
      <c r="H189" t="str">
        <f t="shared" si="17"/>
        <v>D</v>
      </c>
      <c r="I189" t="str">
        <f t="shared" si="18"/>
        <v>Average</v>
      </c>
      <c r="J189">
        <f t="shared" si="19"/>
        <v>95</v>
      </c>
      <c r="K189">
        <f t="shared" si="20"/>
        <v>55.98</v>
      </c>
      <c r="L189">
        <f t="shared" si="21"/>
        <v>20</v>
      </c>
      <c r="M189">
        <f t="shared" si="22"/>
        <v>462</v>
      </c>
      <c r="N189">
        <f t="shared" si="23"/>
        <v>38</v>
      </c>
    </row>
    <row r="190" spans="1:14">
      <c r="A190" t="s">
        <v>196</v>
      </c>
      <c r="B190" t="s">
        <v>9</v>
      </c>
      <c r="C190">
        <v>17</v>
      </c>
      <c r="D190">
        <v>90</v>
      </c>
      <c r="E190">
        <v>79</v>
      </c>
      <c r="F190">
        <v>45</v>
      </c>
      <c r="G190" t="str">
        <f t="shared" si="16"/>
        <v>PASS</v>
      </c>
      <c r="H190" t="str">
        <f t="shared" si="17"/>
        <v>E</v>
      </c>
      <c r="I190" t="str">
        <f t="shared" si="18"/>
        <v>Average</v>
      </c>
      <c r="J190">
        <f t="shared" si="19"/>
        <v>95</v>
      </c>
      <c r="K190">
        <f t="shared" si="20"/>
        <v>55.98</v>
      </c>
      <c r="L190">
        <f t="shared" si="21"/>
        <v>20</v>
      </c>
      <c r="M190">
        <f t="shared" si="22"/>
        <v>462</v>
      </c>
      <c r="N190">
        <f t="shared" si="23"/>
        <v>38</v>
      </c>
    </row>
    <row r="191" spans="1:14">
      <c r="A191" t="s">
        <v>197</v>
      </c>
      <c r="B191" t="s">
        <v>7</v>
      </c>
      <c r="C191">
        <v>18</v>
      </c>
      <c r="D191">
        <v>74.900000000000006</v>
      </c>
      <c r="E191">
        <v>84</v>
      </c>
      <c r="F191">
        <v>62</v>
      </c>
      <c r="G191" t="str">
        <f t="shared" si="16"/>
        <v>PASS</v>
      </c>
      <c r="H191" t="str">
        <f t="shared" si="17"/>
        <v>C</v>
      </c>
      <c r="I191" t="str">
        <f t="shared" si="18"/>
        <v>Good</v>
      </c>
      <c r="J191">
        <f t="shared" si="19"/>
        <v>95</v>
      </c>
      <c r="K191">
        <f t="shared" si="20"/>
        <v>55.98</v>
      </c>
      <c r="L191">
        <f t="shared" si="21"/>
        <v>20</v>
      </c>
      <c r="M191">
        <f t="shared" si="22"/>
        <v>462</v>
      </c>
      <c r="N191">
        <f t="shared" si="23"/>
        <v>38</v>
      </c>
    </row>
    <row r="192" spans="1:14">
      <c r="A192" t="s">
        <v>198</v>
      </c>
      <c r="B192" t="s">
        <v>9</v>
      </c>
      <c r="C192">
        <v>19</v>
      </c>
      <c r="D192">
        <v>59</v>
      </c>
      <c r="E192">
        <v>40</v>
      </c>
      <c r="F192">
        <v>62</v>
      </c>
      <c r="G192" t="str">
        <f t="shared" si="16"/>
        <v>PASS</v>
      </c>
      <c r="H192" t="str">
        <f t="shared" si="17"/>
        <v>C</v>
      </c>
      <c r="I192" t="str">
        <f t="shared" si="18"/>
        <v>Good</v>
      </c>
      <c r="J192">
        <f t="shared" si="19"/>
        <v>95</v>
      </c>
      <c r="K192">
        <f t="shared" si="20"/>
        <v>55.98</v>
      </c>
      <c r="L192">
        <f t="shared" si="21"/>
        <v>20</v>
      </c>
      <c r="M192">
        <f t="shared" si="22"/>
        <v>462</v>
      </c>
      <c r="N192">
        <f t="shared" si="23"/>
        <v>38</v>
      </c>
    </row>
    <row r="193" spans="1:14">
      <c r="A193" t="s">
        <v>199</v>
      </c>
      <c r="B193" t="s">
        <v>9</v>
      </c>
      <c r="C193">
        <v>17</v>
      </c>
      <c r="D193">
        <v>80.099999999999994</v>
      </c>
      <c r="E193">
        <v>74</v>
      </c>
      <c r="F193">
        <v>61</v>
      </c>
      <c r="G193" t="str">
        <f t="shared" si="16"/>
        <v>PASS</v>
      </c>
      <c r="H193" t="str">
        <f t="shared" si="17"/>
        <v>C</v>
      </c>
      <c r="I193" t="str">
        <f t="shared" si="18"/>
        <v>Good</v>
      </c>
      <c r="J193">
        <f t="shared" si="19"/>
        <v>95</v>
      </c>
      <c r="K193">
        <f t="shared" si="20"/>
        <v>55.98</v>
      </c>
      <c r="L193">
        <f t="shared" si="21"/>
        <v>20</v>
      </c>
      <c r="M193">
        <f t="shared" si="22"/>
        <v>462</v>
      </c>
      <c r="N193">
        <f t="shared" si="23"/>
        <v>38</v>
      </c>
    </row>
    <row r="194" spans="1:14">
      <c r="A194" t="s">
        <v>200</v>
      </c>
      <c r="B194" t="s">
        <v>7</v>
      </c>
      <c r="C194">
        <v>17</v>
      </c>
      <c r="D194">
        <v>99.9</v>
      </c>
      <c r="E194">
        <v>81</v>
      </c>
      <c r="F194">
        <v>73</v>
      </c>
      <c r="G194" t="str">
        <f t="shared" ref="G194:G257" si="24">IF(F194&gt;33,"PASS","FAIL")</f>
        <v>PASS</v>
      </c>
      <c r="H194" t="str">
        <f t="shared" ref="H194:H257" si="25">IF(F194&gt;90,"A",IF(F194&gt;=80,"B",IF(F194&gt;=60,"C",IF(F194&gt;=50,"D","E"))))</f>
        <v>C</v>
      </c>
      <c r="I194" t="str">
        <f t="shared" ref="I194:I257" si="26">IF(F194&gt;=80,"Excellent",IF(F194&gt;=60,"Good",IF(F194&gt;=40,"Average","Poor")))</f>
        <v>Good</v>
      </c>
      <c r="J194">
        <f t="shared" ref="J194:J257" si="27">MAX(F:F)</f>
        <v>95</v>
      </c>
      <c r="K194">
        <f t="shared" ref="K194:K257" si="28">AVERAGE(F:F)</f>
        <v>55.98</v>
      </c>
      <c r="L194">
        <f t="shared" ref="L194:L257" si="29">MIN(F:F)</f>
        <v>20</v>
      </c>
      <c r="M194">
        <f t="shared" ref="M194:M257" si="30">COUNTIF(G:G,"pass")</f>
        <v>462</v>
      </c>
      <c r="N194">
        <f t="shared" ref="N194:N257" si="31">COUNTIF(G:G,"fail")</f>
        <v>38</v>
      </c>
    </row>
    <row r="195" spans="1:14">
      <c r="A195" t="s">
        <v>201</v>
      </c>
      <c r="B195" t="s">
        <v>7</v>
      </c>
      <c r="C195">
        <v>15</v>
      </c>
      <c r="D195">
        <v>92.4</v>
      </c>
      <c r="E195">
        <v>38</v>
      </c>
      <c r="F195">
        <v>36</v>
      </c>
      <c r="G195" t="str">
        <f t="shared" si="24"/>
        <v>PASS</v>
      </c>
      <c r="H195" t="str">
        <f t="shared" si="25"/>
        <v>E</v>
      </c>
      <c r="I195" t="str">
        <f t="shared" si="26"/>
        <v>Poor</v>
      </c>
      <c r="J195">
        <f t="shared" si="27"/>
        <v>95</v>
      </c>
      <c r="K195">
        <f t="shared" si="28"/>
        <v>55.98</v>
      </c>
      <c r="L195">
        <f t="shared" si="29"/>
        <v>20</v>
      </c>
      <c r="M195">
        <f t="shared" si="30"/>
        <v>462</v>
      </c>
      <c r="N195">
        <f t="shared" si="31"/>
        <v>38</v>
      </c>
    </row>
    <row r="196" spans="1:14">
      <c r="A196" t="s">
        <v>202</v>
      </c>
      <c r="B196" t="s">
        <v>9</v>
      </c>
      <c r="C196">
        <v>17</v>
      </c>
      <c r="D196">
        <v>97.5</v>
      </c>
      <c r="E196">
        <v>77</v>
      </c>
      <c r="F196">
        <v>61</v>
      </c>
      <c r="G196" t="str">
        <f t="shared" si="24"/>
        <v>PASS</v>
      </c>
      <c r="H196" t="str">
        <f t="shared" si="25"/>
        <v>C</v>
      </c>
      <c r="I196" t="str">
        <f t="shared" si="26"/>
        <v>Good</v>
      </c>
      <c r="J196">
        <f t="shared" si="27"/>
        <v>95</v>
      </c>
      <c r="K196">
        <f t="shared" si="28"/>
        <v>55.98</v>
      </c>
      <c r="L196">
        <f t="shared" si="29"/>
        <v>20</v>
      </c>
      <c r="M196">
        <f t="shared" si="30"/>
        <v>462</v>
      </c>
      <c r="N196">
        <f t="shared" si="31"/>
        <v>38</v>
      </c>
    </row>
    <row r="197" spans="1:14">
      <c r="A197" t="s">
        <v>203</v>
      </c>
      <c r="B197" t="s">
        <v>9</v>
      </c>
      <c r="C197">
        <v>15</v>
      </c>
      <c r="D197">
        <v>56.9</v>
      </c>
      <c r="E197">
        <v>65</v>
      </c>
      <c r="F197">
        <v>52</v>
      </c>
      <c r="G197" t="str">
        <f t="shared" si="24"/>
        <v>PASS</v>
      </c>
      <c r="H197" t="str">
        <f t="shared" si="25"/>
        <v>D</v>
      </c>
      <c r="I197" t="str">
        <f t="shared" si="26"/>
        <v>Average</v>
      </c>
      <c r="J197">
        <f t="shared" si="27"/>
        <v>95</v>
      </c>
      <c r="K197">
        <f t="shared" si="28"/>
        <v>55.98</v>
      </c>
      <c r="L197">
        <f t="shared" si="29"/>
        <v>20</v>
      </c>
      <c r="M197">
        <f t="shared" si="30"/>
        <v>462</v>
      </c>
      <c r="N197">
        <f t="shared" si="31"/>
        <v>38</v>
      </c>
    </row>
    <row r="198" spans="1:14">
      <c r="A198" t="s">
        <v>204</v>
      </c>
      <c r="B198" t="s">
        <v>7</v>
      </c>
      <c r="C198">
        <v>15</v>
      </c>
      <c r="D198">
        <v>59.3</v>
      </c>
      <c r="E198">
        <v>63</v>
      </c>
      <c r="F198">
        <v>76</v>
      </c>
      <c r="G198" t="str">
        <f t="shared" si="24"/>
        <v>PASS</v>
      </c>
      <c r="H198" t="str">
        <f t="shared" si="25"/>
        <v>C</v>
      </c>
      <c r="I198" t="str">
        <f t="shared" si="26"/>
        <v>Good</v>
      </c>
      <c r="J198">
        <f t="shared" si="27"/>
        <v>95</v>
      </c>
      <c r="K198">
        <f t="shared" si="28"/>
        <v>55.98</v>
      </c>
      <c r="L198">
        <f t="shared" si="29"/>
        <v>20</v>
      </c>
      <c r="M198">
        <f t="shared" si="30"/>
        <v>462</v>
      </c>
      <c r="N198">
        <f t="shared" si="31"/>
        <v>38</v>
      </c>
    </row>
    <row r="199" spans="1:14">
      <c r="A199" t="s">
        <v>205</v>
      </c>
      <c r="B199" t="s">
        <v>9</v>
      </c>
      <c r="C199">
        <v>18</v>
      </c>
      <c r="D199">
        <v>99.8</v>
      </c>
      <c r="E199">
        <v>45</v>
      </c>
      <c r="F199">
        <v>39</v>
      </c>
      <c r="G199" t="str">
        <f t="shared" si="24"/>
        <v>PASS</v>
      </c>
      <c r="H199" t="str">
        <f t="shared" si="25"/>
        <v>E</v>
      </c>
      <c r="I199" t="str">
        <f t="shared" si="26"/>
        <v>Poor</v>
      </c>
      <c r="J199">
        <f t="shared" si="27"/>
        <v>95</v>
      </c>
      <c r="K199">
        <f t="shared" si="28"/>
        <v>55.98</v>
      </c>
      <c r="L199">
        <f t="shared" si="29"/>
        <v>20</v>
      </c>
      <c r="M199">
        <f t="shared" si="30"/>
        <v>462</v>
      </c>
      <c r="N199">
        <f t="shared" si="31"/>
        <v>38</v>
      </c>
    </row>
    <row r="200" spans="1:14">
      <c r="A200" t="s">
        <v>206</v>
      </c>
      <c r="B200" t="s">
        <v>7</v>
      </c>
      <c r="C200">
        <v>18</v>
      </c>
      <c r="D200">
        <v>94.9</v>
      </c>
      <c r="E200">
        <v>74</v>
      </c>
      <c r="F200">
        <v>60</v>
      </c>
      <c r="G200" t="str">
        <f t="shared" si="24"/>
        <v>PASS</v>
      </c>
      <c r="H200" t="str">
        <f t="shared" si="25"/>
        <v>C</v>
      </c>
      <c r="I200" t="str">
        <f t="shared" si="26"/>
        <v>Good</v>
      </c>
      <c r="J200">
        <f t="shared" si="27"/>
        <v>95</v>
      </c>
      <c r="K200">
        <f t="shared" si="28"/>
        <v>55.98</v>
      </c>
      <c r="L200">
        <f t="shared" si="29"/>
        <v>20</v>
      </c>
      <c r="M200">
        <f t="shared" si="30"/>
        <v>462</v>
      </c>
      <c r="N200">
        <f t="shared" si="31"/>
        <v>38</v>
      </c>
    </row>
    <row r="201" spans="1:14">
      <c r="A201" t="s">
        <v>207</v>
      </c>
      <c r="B201" t="s">
        <v>7</v>
      </c>
      <c r="C201">
        <v>19</v>
      </c>
      <c r="D201">
        <v>64.5</v>
      </c>
      <c r="E201">
        <v>76</v>
      </c>
      <c r="F201">
        <v>64</v>
      </c>
      <c r="G201" t="str">
        <f t="shared" si="24"/>
        <v>PASS</v>
      </c>
      <c r="H201" t="str">
        <f t="shared" si="25"/>
        <v>C</v>
      </c>
      <c r="I201" t="str">
        <f t="shared" si="26"/>
        <v>Good</v>
      </c>
      <c r="J201">
        <f t="shared" si="27"/>
        <v>95</v>
      </c>
      <c r="K201">
        <f t="shared" si="28"/>
        <v>55.98</v>
      </c>
      <c r="L201">
        <f t="shared" si="29"/>
        <v>20</v>
      </c>
      <c r="M201">
        <f t="shared" si="30"/>
        <v>462</v>
      </c>
      <c r="N201">
        <f t="shared" si="31"/>
        <v>38</v>
      </c>
    </row>
    <row r="202" spans="1:14">
      <c r="A202" t="s">
        <v>208</v>
      </c>
      <c r="B202" t="s">
        <v>7</v>
      </c>
      <c r="C202">
        <v>15</v>
      </c>
      <c r="D202">
        <v>89.6</v>
      </c>
      <c r="E202">
        <v>76</v>
      </c>
      <c r="F202">
        <v>56</v>
      </c>
      <c r="G202" t="str">
        <f t="shared" si="24"/>
        <v>PASS</v>
      </c>
      <c r="H202" t="str">
        <f t="shared" si="25"/>
        <v>D</v>
      </c>
      <c r="I202" t="str">
        <f t="shared" si="26"/>
        <v>Average</v>
      </c>
      <c r="J202">
        <f t="shared" si="27"/>
        <v>95</v>
      </c>
      <c r="K202">
        <f t="shared" si="28"/>
        <v>55.98</v>
      </c>
      <c r="L202">
        <f t="shared" si="29"/>
        <v>20</v>
      </c>
      <c r="M202">
        <f t="shared" si="30"/>
        <v>462</v>
      </c>
      <c r="N202">
        <f t="shared" si="31"/>
        <v>38</v>
      </c>
    </row>
    <row r="203" spans="1:14">
      <c r="A203" t="s">
        <v>209</v>
      </c>
      <c r="B203" t="s">
        <v>9</v>
      </c>
      <c r="C203">
        <v>18</v>
      </c>
      <c r="D203">
        <v>99.2</v>
      </c>
      <c r="E203">
        <v>69</v>
      </c>
      <c r="F203">
        <v>81</v>
      </c>
      <c r="G203" t="str">
        <f t="shared" si="24"/>
        <v>PASS</v>
      </c>
      <c r="H203" t="str">
        <f t="shared" si="25"/>
        <v>B</v>
      </c>
      <c r="I203" t="str">
        <f t="shared" si="26"/>
        <v>Excellent</v>
      </c>
      <c r="J203">
        <f t="shared" si="27"/>
        <v>95</v>
      </c>
      <c r="K203">
        <f t="shared" si="28"/>
        <v>55.98</v>
      </c>
      <c r="L203">
        <f t="shared" si="29"/>
        <v>20</v>
      </c>
      <c r="M203">
        <f t="shared" si="30"/>
        <v>462</v>
      </c>
      <c r="N203">
        <f t="shared" si="31"/>
        <v>38</v>
      </c>
    </row>
    <row r="204" spans="1:14">
      <c r="A204" t="s">
        <v>210</v>
      </c>
      <c r="B204" t="s">
        <v>9</v>
      </c>
      <c r="C204">
        <v>19</v>
      </c>
      <c r="D204">
        <v>88.5</v>
      </c>
      <c r="E204">
        <v>70</v>
      </c>
      <c r="F204">
        <v>68</v>
      </c>
      <c r="G204" t="str">
        <f t="shared" si="24"/>
        <v>PASS</v>
      </c>
      <c r="H204" t="str">
        <f t="shared" si="25"/>
        <v>C</v>
      </c>
      <c r="I204" t="str">
        <f t="shared" si="26"/>
        <v>Good</v>
      </c>
      <c r="J204">
        <f t="shared" si="27"/>
        <v>95</v>
      </c>
      <c r="K204">
        <f t="shared" si="28"/>
        <v>55.98</v>
      </c>
      <c r="L204">
        <f t="shared" si="29"/>
        <v>20</v>
      </c>
      <c r="M204">
        <f t="shared" si="30"/>
        <v>462</v>
      </c>
      <c r="N204">
        <f t="shared" si="31"/>
        <v>38</v>
      </c>
    </row>
    <row r="205" spans="1:14">
      <c r="A205" t="s">
        <v>211</v>
      </c>
      <c r="B205" t="s">
        <v>7</v>
      </c>
      <c r="C205">
        <v>18</v>
      </c>
      <c r="D205">
        <v>84</v>
      </c>
      <c r="E205">
        <v>46</v>
      </c>
      <c r="F205">
        <v>56</v>
      </c>
      <c r="G205" t="str">
        <f t="shared" si="24"/>
        <v>PASS</v>
      </c>
      <c r="H205" t="str">
        <f t="shared" si="25"/>
        <v>D</v>
      </c>
      <c r="I205" t="str">
        <f t="shared" si="26"/>
        <v>Average</v>
      </c>
      <c r="J205">
        <f t="shared" si="27"/>
        <v>95</v>
      </c>
      <c r="K205">
        <f t="shared" si="28"/>
        <v>55.98</v>
      </c>
      <c r="L205">
        <f t="shared" si="29"/>
        <v>20</v>
      </c>
      <c r="M205">
        <f t="shared" si="30"/>
        <v>462</v>
      </c>
      <c r="N205">
        <f t="shared" si="31"/>
        <v>38</v>
      </c>
    </row>
    <row r="206" spans="1:14">
      <c r="A206" t="s">
        <v>212</v>
      </c>
      <c r="B206" t="s">
        <v>7</v>
      </c>
      <c r="C206">
        <v>15</v>
      </c>
      <c r="D206">
        <v>57.7</v>
      </c>
      <c r="E206">
        <v>58</v>
      </c>
      <c r="F206">
        <v>51</v>
      </c>
      <c r="G206" t="str">
        <f t="shared" si="24"/>
        <v>PASS</v>
      </c>
      <c r="H206" t="str">
        <f t="shared" si="25"/>
        <v>D</v>
      </c>
      <c r="I206" t="str">
        <f t="shared" si="26"/>
        <v>Average</v>
      </c>
      <c r="J206">
        <f t="shared" si="27"/>
        <v>95</v>
      </c>
      <c r="K206">
        <f t="shared" si="28"/>
        <v>55.98</v>
      </c>
      <c r="L206">
        <f t="shared" si="29"/>
        <v>20</v>
      </c>
      <c r="M206">
        <f t="shared" si="30"/>
        <v>462</v>
      </c>
      <c r="N206">
        <f t="shared" si="31"/>
        <v>38</v>
      </c>
    </row>
    <row r="207" spans="1:14">
      <c r="A207" t="s">
        <v>213</v>
      </c>
      <c r="B207" t="s">
        <v>9</v>
      </c>
      <c r="C207">
        <v>15</v>
      </c>
      <c r="D207">
        <v>59.8</v>
      </c>
      <c r="E207">
        <v>68</v>
      </c>
      <c r="F207">
        <v>50</v>
      </c>
      <c r="G207" t="str">
        <f t="shared" si="24"/>
        <v>PASS</v>
      </c>
      <c r="H207" t="str">
        <f t="shared" si="25"/>
        <v>D</v>
      </c>
      <c r="I207" t="str">
        <f t="shared" si="26"/>
        <v>Average</v>
      </c>
      <c r="J207">
        <f t="shared" si="27"/>
        <v>95</v>
      </c>
      <c r="K207">
        <f t="shared" si="28"/>
        <v>55.98</v>
      </c>
      <c r="L207">
        <f t="shared" si="29"/>
        <v>20</v>
      </c>
      <c r="M207">
        <f t="shared" si="30"/>
        <v>462</v>
      </c>
      <c r="N207">
        <f t="shared" si="31"/>
        <v>38</v>
      </c>
    </row>
    <row r="208" spans="1:14">
      <c r="A208" t="s">
        <v>214</v>
      </c>
      <c r="B208" t="s">
        <v>7</v>
      </c>
      <c r="C208">
        <v>19</v>
      </c>
      <c r="D208">
        <v>58.4</v>
      </c>
      <c r="E208">
        <v>73</v>
      </c>
      <c r="F208">
        <v>68</v>
      </c>
      <c r="G208" t="str">
        <f t="shared" si="24"/>
        <v>PASS</v>
      </c>
      <c r="H208" t="str">
        <f t="shared" si="25"/>
        <v>C</v>
      </c>
      <c r="I208" t="str">
        <f t="shared" si="26"/>
        <v>Good</v>
      </c>
      <c r="J208">
        <f t="shared" si="27"/>
        <v>95</v>
      </c>
      <c r="K208">
        <f t="shared" si="28"/>
        <v>55.98</v>
      </c>
      <c r="L208">
        <f t="shared" si="29"/>
        <v>20</v>
      </c>
      <c r="M208">
        <f t="shared" si="30"/>
        <v>462</v>
      </c>
      <c r="N208">
        <f t="shared" si="31"/>
        <v>38</v>
      </c>
    </row>
    <row r="209" spans="1:14">
      <c r="A209" t="s">
        <v>215</v>
      </c>
      <c r="B209" t="s">
        <v>7</v>
      </c>
      <c r="C209">
        <v>15</v>
      </c>
      <c r="D209">
        <v>52.3</v>
      </c>
      <c r="E209">
        <v>83</v>
      </c>
      <c r="F209">
        <v>42</v>
      </c>
      <c r="G209" t="str">
        <f t="shared" si="24"/>
        <v>PASS</v>
      </c>
      <c r="H209" t="str">
        <f t="shared" si="25"/>
        <v>E</v>
      </c>
      <c r="I209" t="str">
        <f t="shared" si="26"/>
        <v>Average</v>
      </c>
      <c r="J209">
        <f t="shared" si="27"/>
        <v>95</v>
      </c>
      <c r="K209">
        <f t="shared" si="28"/>
        <v>55.98</v>
      </c>
      <c r="L209">
        <f t="shared" si="29"/>
        <v>20</v>
      </c>
      <c r="M209">
        <f t="shared" si="30"/>
        <v>462</v>
      </c>
      <c r="N209">
        <f t="shared" si="31"/>
        <v>38</v>
      </c>
    </row>
    <row r="210" spans="1:14">
      <c r="A210" t="s">
        <v>216</v>
      </c>
      <c r="B210" t="s">
        <v>7</v>
      </c>
      <c r="C210">
        <v>18</v>
      </c>
      <c r="D210">
        <v>81.400000000000006</v>
      </c>
      <c r="E210">
        <v>61</v>
      </c>
      <c r="F210">
        <v>91</v>
      </c>
      <c r="G210" t="str">
        <f t="shared" si="24"/>
        <v>PASS</v>
      </c>
      <c r="H210" t="str">
        <f t="shared" si="25"/>
        <v>A</v>
      </c>
      <c r="I210" t="str">
        <f t="shared" si="26"/>
        <v>Excellent</v>
      </c>
      <c r="J210">
        <f t="shared" si="27"/>
        <v>95</v>
      </c>
      <c r="K210">
        <f t="shared" si="28"/>
        <v>55.98</v>
      </c>
      <c r="L210">
        <f t="shared" si="29"/>
        <v>20</v>
      </c>
      <c r="M210">
        <f t="shared" si="30"/>
        <v>462</v>
      </c>
      <c r="N210">
        <f t="shared" si="31"/>
        <v>38</v>
      </c>
    </row>
    <row r="211" spans="1:14">
      <c r="A211" t="s">
        <v>217</v>
      </c>
      <c r="B211" t="s">
        <v>9</v>
      </c>
      <c r="C211">
        <v>17</v>
      </c>
      <c r="D211">
        <v>53.6</v>
      </c>
      <c r="E211">
        <v>83</v>
      </c>
      <c r="F211">
        <v>56</v>
      </c>
      <c r="G211" t="str">
        <f t="shared" si="24"/>
        <v>PASS</v>
      </c>
      <c r="H211" t="str">
        <f t="shared" si="25"/>
        <v>D</v>
      </c>
      <c r="I211" t="str">
        <f t="shared" si="26"/>
        <v>Average</v>
      </c>
      <c r="J211">
        <f t="shared" si="27"/>
        <v>95</v>
      </c>
      <c r="K211">
        <f t="shared" si="28"/>
        <v>55.98</v>
      </c>
      <c r="L211">
        <f t="shared" si="29"/>
        <v>20</v>
      </c>
      <c r="M211">
        <f t="shared" si="30"/>
        <v>462</v>
      </c>
      <c r="N211">
        <f t="shared" si="31"/>
        <v>38</v>
      </c>
    </row>
    <row r="212" spans="1:14">
      <c r="A212" t="s">
        <v>218</v>
      </c>
      <c r="B212" t="s">
        <v>9</v>
      </c>
      <c r="C212">
        <v>16</v>
      </c>
      <c r="D212">
        <v>80.3</v>
      </c>
      <c r="E212">
        <v>81</v>
      </c>
      <c r="F212">
        <v>47</v>
      </c>
      <c r="G212" t="str">
        <f t="shared" si="24"/>
        <v>PASS</v>
      </c>
      <c r="H212" t="str">
        <f t="shared" si="25"/>
        <v>E</v>
      </c>
      <c r="I212" t="str">
        <f t="shared" si="26"/>
        <v>Average</v>
      </c>
      <c r="J212">
        <f t="shared" si="27"/>
        <v>95</v>
      </c>
      <c r="K212">
        <f t="shared" si="28"/>
        <v>55.98</v>
      </c>
      <c r="L212">
        <f t="shared" si="29"/>
        <v>20</v>
      </c>
      <c r="M212">
        <f t="shared" si="30"/>
        <v>462</v>
      </c>
      <c r="N212">
        <f t="shared" si="31"/>
        <v>38</v>
      </c>
    </row>
    <row r="213" spans="1:14">
      <c r="A213" t="s">
        <v>219</v>
      </c>
      <c r="B213" t="s">
        <v>9</v>
      </c>
      <c r="C213">
        <v>19</v>
      </c>
      <c r="D213">
        <v>55.3</v>
      </c>
      <c r="E213">
        <v>64</v>
      </c>
      <c r="F213">
        <v>56</v>
      </c>
      <c r="G213" t="str">
        <f t="shared" si="24"/>
        <v>PASS</v>
      </c>
      <c r="H213" t="str">
        <f t="shared" si="25"/>
        <v>D</v>
      </c>
      <c r="I213" t="str">
        <f t="shared" si="26"/>
        <v>Average</v>
      </c>
      <c r="J213">
        <f t="shared" si="27"/>
        <v>95</v>
      </c>
      <c r="K213">
        <f t="shared" si="28"/>
        <v>55.98</v>
      </c>
      <c r="L213">
        <f t="shared" si="29"/>
        <v>20</v>
      </c>
      <c r="M213">
        <f t="shared" si="30"/>
        <v>462</v>
      </c>
      <c r="N213">
        <f t="shared" si="31"/>
        <v>38</v>
      </c>
    </row>
    <row r="214" spans="1:14">
      <c r="A214" t="s">
        <v>220</v>
      </c>
      <c r="B214" t="s">
        <v>7</v>
      </c>
      <c r="C214">
        <v>16</v>
      </c>
      <c r="D214">
        <v>52.5</v>
      </c>
      <c r="E214">
        <v>50</v>
      </c>
      <c r="F214">
        <v>28</v>
      </c>
      <c r="G214" t="str">
        <f t="shared" si="24"/>
        <v>FAIL</v>
      </c>
      <c r="H214" t="str">
        <f t="shared" si="25"/>
        <v>E</v>
      </c>
      <c r="I214" t="str">
        <f t="shared" si="26"/>
        <v>Poor</v>
      </c>
      <c r="J214">
        <f t="shared" si="27"/>
        <v>95</v>
      </c>
      <c r="K214">
        <f t="shared" si="28"/>
        <v>55.98</v>
      </c>
      <c r="L214">
        <f t="shared" si="29"/>
        <v>20</v>
      </c>
      <c r="M214">
        <f t="shared" si="30"/>
        <v>462</v>
      </c>
      <c r="N214">
        <f t="shared" si="31"/>
        <v>38</v>
      </c>
    </row>
    <row r="215" spans="1:14">
      <c r="A215" t="s">
        <v>221</v>
      </c>
      <c r="B215" t="s">
        <v>9</v>
      </c>
      <c r="C215">
        <v>16</v>
      </c>
      <c r="D215">
        <v>58</v>
      </c>
      <c r="E215">
        <v>69</v>
      </c>
      <c r="F215">
        <v>70</v>
      </c>
      <c r="G215" t="str">
        <f t="shared" si="24"/>
        <v>PASS</v>
      </c>
      <c r="H215" t="str">
        <f t="shared" si="25"/>
        <v>C</v>
      </c>
      <c r="I215" t="str">
        <f t="shared" si="26"/>
        <v>Good</v>
      </c>
      <c r="J215">
        <f t="shared" si="27"/>
        <v>95</v>
      </c>
      <c r="K215">
        <f t="shared" si="28"/>
        <v>55.98</v>
      </c>
      <c r="L215">
        <f t="shared" si="29"/>
        <v>20</v>
      </c>
      <c r="M215">
        <f t="shared" si="30"/>
        <v>462</v>
      </c>
      <c r="N215">
        <f t="shared" si="31"/>
        <v>38</v>
      </c>
    </row>
    <row r="216" spans="1:14">
      <c r="A216" t="s">
        <v>222</v>
      </c>
      <c r="B216" t="s">
        <v>7</v>
      </c>
      <c r="C216">
        <v>15</v>
      </c>
      <c r="D216">
        <v>75.3</v>
      </c>
      <c r="E216">
        <v>36</v>
      </c>
      <c r="F216">
        <v>36</v>
      </c>
      <c r="G216" t="str">
        <f t="shared" si="24"/>
        <v>PASS</v>
      </c>
      <c r="H216" t="str">
        <f t="shared" si="25"/>
        <v>E</v>
      </c>
      <c r="I216" t="str">
        <f t="shared" si="26"/>
        <v>Poor</v>
      </c>
      <c r="J216">
        <f t="shared" si="27"/>
        <v>95</v>
      </c>
      <c r="K216">
        <f t="shared" si="28"/>
        <v>55.98</v>
      </c>
      <c r="L216">
        <f t="shared" si="29"/>
        <v>20</v>
      </c>
      <c r="M216">
        <f t="shared" si="30"/>
        <v>462</v>
      </c>
      <c r="N216">
        <f t="shared" si="31"/>
        <v>38</v>
      </c>
    </row>
    <row r="217" spans="1:14">
      <c r="A217" t="s">
        <v>223</v>
      </c>
      <c r="B217" t="s">
        <v>9</v>
      </c>
      <c r="C217">
        <v>18</v>
      </c>
      <c r="D217">
        <v>94.1</v>
      </c>
      <c r="E217">
        <v>43</v>
      </c>
      <c r="F217">
        <v>66</v>
      </c>
      <c r="G217" t="str">
        <f t="shared" si="24"/>
        <v>PASS</v>
      </c>
      <c r="H217" t="str">
        <f t="shared" si="25"/>
        <v>C</v>
      </c>
      <c r="I217" t="str">
        <f t="shared" si="26"/>
        <v>Good</v>
      </c>
      <c r="J217">
        <f t="shared" si="27"/>
        <v>95</v>
      </c>
      <c r="K217">
        <f t="shared" si="28"/>
        <v>55.98</v>
      </c>
      <c r="L217">
        <f t="shared" si="29"/>
        <v>20</v>
      </c>
      <c r="M217">
        <f t="shared" si="30"/>
        <v>462</v>
      </c>
      <c r="N217">
        <f t="shared" si="31"/>
        <v>38</v>
      </c>
    </row>
    <row r="218" spans="1:14">
      <c r="A218" t="s">
        <v>224</v>
      </c>
      <c r="B218" t="s">
        <v>7</v>
      </c>
      <c r="C218">
        <v>17</v>
      </c>
      <c r="D218">
        <v>68.3</v>
      </c>
      <c r="E218">
        <v>81</v>
      </c>
      <c r="F218">
        <v>60</v>
      </c>
      <c r="G218" t="str">
        <f t="shared" si="24"/>
        <v>PASS</v>
      </c>
      <c r="H218" t="str">
        <f t="shared" si="25"/>
        <v>C</v>
      </c>
      <c r="I218" t="str">
        <f t="shared" si="26"/>
        <v>Good</v>
      </c>
      <c r="J218">
        <f t="shared" si="27"/>
        <v>95</v>
      </c>
      <c r="K218">
        <f t="shared" si="28"/>
        <v>55.98</v>
      </c>
      <c r="L218">
        <f t="shared" si="29"/>
        <v>20</v>
      </c>
      <c r="M218">
        <f t="shared" si="30"/>
        <v>462</v>
      </c>
      <c r="N218">
        <f t="shared" si="31"/>
        <v>38</v>
      </c>
    </row>
    <row r="219" spans="1:14">
      <c r="A219" t="s">
        <v>225</v>
      </c>
      <c r="B219" t="s">
        <v>7</v>
      </c>
      <c r="C219">
        <v>17</v>
      </c>
      <c r="D219">
        <v>64.400000000000006</v>
      </c>
      <c r="E219">
        <v>45</v>
      </c>
      <c r="F219">
        <v>45</v>
      </c>
      <c r="G219" t="str">
        <f t="shared" si="24"/>
        <v>PASS</v>
      </c>
      <c r="H219" t="str">
        <f t="shared" si="25"/>
        <v>E</v>
      </c>
      <c r="I219" t="str">
        <f t="shared" si="26"/>
        <v>Average</v>
      </c>
      <c r="J219">
        <f t="shared" si="27"/>
        <v>95</v>
      </c>
      <c r="K219">
        <f t="shared" si="28"/>
        <v>55.98</v>
      </c>
      <c r="L219">
        <f t="shared" si="29"/>
        <v>20</v>
      </c>
      <c r="M219">
        <f t="shared" si="30"/>
        <v>462</v>
      </c>
      <c r="N219">
        <f t="shared" si="31"/>
        <v>38</v>
      </c>
    </row>
    <row r="220" spans="1:14">
      <c r="A220" t="s">
        <v>226</v>
      </c>
      <c r="B220" t="s">
        <v>7</v>
      </c>
      <c r="C220">
        <v>18</v>
      </c>
      <c r="D220">
        <v>89.7</v>
      </c>
      <c r="E220">
        <v>55</v>
      </c>
      <c r="F220">
        <v>61</v>
      </c>
      <c r="G220" t="str">
        <f t="shared" si="24"/>
        <v>PASS</v>
      </c>
      <c r="H220" t="str">
        <f t="shared" si="25"/>
        <v>C</v>
      </c>
      <c r="I220" t="str">
        <f t="shared" si="26"/>
        <v>Good</v>
      </c>
      <c r="J220">
        <f t="shared" si="27"/>
        <v>95</v>
      </c>
      <c r="K220">
        <f t="shared" si="28"/>
        <v>55.98</v>
      </c>
      <c r="L220">
        <f t="shared" si="29"/>
        <v>20</v>
      </c>
      <c r="M220">
        <f t="shared" si="30"/>
        <v>462</v>
      </c>
      <c r="N220">
        <f t="shared" si="31"/>
        <v>38</v>
      </c>
    </row>
    <row r="221" spans="1:14">
      <c r="A221" t="s">
        <v>227</v>
      </c>
      <c r="B221" t="s">
        <v>9</v>
      </c>
      <c r="C221">
        <v>19</v>
      </c>
      <c r="D221">
        <v>52.3</v>
      </c>
      <c r="E221">
        <v>88</v>
      </c>
      <c r="F221">
        <v>26</v>
      </c>
      <c r="G221" t="str">
        <f t="shared" si="24"/>
        <v>FAIL</v>
      </c>
      <c r="H221" t="str">
        <f t="shared" si="25"/>
        <v>E</v>
      </c>
      <c r="I221" t="str">
        <f t="shared" si="26"/>
        <v>Poor</v>
      </c>
      <c r="J221">
        <f t="shared" si="27"/>
        <v>95</v>
      </c>
      <c r="K221">
        <f t="shared" si="28"/>
        <v>55.98</v>
      </c>
      <c r="L221">
        <f t="shared" si="29"/>
        <v>20</v>
      </c>
      <c r="M221">
        <f t="shared" si="30"/>
        <v>462</v>
      </c>
      <c r="N221">
        <f t="shared" si="31"/>
        <v>38</v>
      </c>
    </row>
    <row r="222" spans="1:14">
      <c r="A222" t="s">
        <v>228</v>
      </c>
      <c r="B222" t="s">
        <v>7</v>
      </c>
      <c r="C222">
        <v>17</v>
      </c>
      <c r="D222">
        <v>65.900000000000006</v>
      </c>
      <c r="E222">
        <v>94</v>
      </c>
      <c r="F222">
        <v>71</v>
      </c>
      <c r="G222" t="str">
        <f t="shared" si="24"/>
        <v>PASS</v>
      </c>
      <c r="H222" t="str">
        <f t="shared" si="25"/>
        <v>C</v>
      </c>
      <c r="I222" t="str">
        <f t="shared" si="26"/>
        <v>Good</v>
      </c>
      <c r="J222">
        <f t="shared" si="27"/>
        <v>95</v>
      </c>
      <c r="K222">
        <f t="shared" si="28"/>
        <v>55.98</v>
      </c>
      <c r="L222">
        <f t="shared" si="29"/>
        <v>20</v>
      </c>
      <c r="M222">
        <f t="shared" si="30"/>
        <v>462</v>
      </c>
      <c r="N222">
        <f t="shared" si="31"/>
        <v>38</v>
      </c>
    </row>
    <row r="223" spans="1:14">
      <c r="A223" t="s">
        <v>229</v>
      </c>
      <c r="B223" t="s">
        <v>9</v>
      </c>
      <c r="C223">
        <v>19</v>
      </c>
      <c r="D223">
        <v>73.7</v>
      </c>
      <c r="E223">
        <v>44</v>
      </c>
      <c r="F223">
        <v>45</v>
      </c>
      <c r="G223" t="str">
        <f t="shared" si="24"/>
        <v>PASS</v>
      </c>
      <c r="H223" t="str">
        <f t="shared" si="25"/>
        <v>E</v>
      </c>
      <c r="I223" t="str">
        <f t="shared" si="26"/>
        <v>Average</v>
      </c>
      <c r="J223">
        <f t="shared" si="27"/>
        <v>95</v>
      </c>
      <c r="K223">
        <f t="shared" si="28"/>
        <v>55.98</v>
      </c>
      <c r="L223">
        <f t="shared" si="29"/>
        <v>20</v>
      </c>
      <c r="M223">
        <f t="shared" si="30"/>
        <v>462</v>
      </c>
      <c r="N223">
        <f t="shared" si="31"/>
        <v>38</v>
      </c>
    </row>
    <row r="224" spans="1:14">
      <c r="A224" t="s">
        <v>230</v>
      </c>
      <c r="B224" t="s">
        <v>9</v>
      </c>
      <c r="C224">
        <v>15</v>
      </c>
      <c r="D224">
        <v>73.7</v>
      </c>
      <c r="E224">
        <v>91</v>
      </c>
      <c r="F224">
        <v>61</v>
      </c>
      <c r="G224" t="str">
        <f t="shared" si="24"/>
        <v>PASS</v>
      </c>
      <c r="H224" t="str">
        <f t="shared" si="25"/>
        <v>C</v>
      </c>
      <c r="I224" t="str">
        <f t="shared" si="26"/>
        <v>Good</v>
      </c>
      <c r="J224">
        <f t="shared" si="27"/>
        <v>95</v>
      </c>
      <c r="K224">
        <f t="shared" si="28"/>
        <v>55.98</v>
      </c>
      <c r="L224">
        <f t="shared" si="29"/>
        <v>20</v>
      </c>
      <c r="M224">
        <f t="shared" si="30"/>
        <v>462</v>
      </c>
      <c r="N224">
        <f t="shared" si="31"/>
        <v>38</v>
      </c>
    </row>
    <row r="225" spans="1:14">
      <c r="A225" t="s">
        <v>231</v>
      </c>
      <c r="B225" t="s">
        <v>9</v>
      </c>
      <c r="C225">
        <v>16</v>
      </c>
      <c r="D225">
        <v>84</v>
      </c>
      <c r="E225">
        <v>32</v>
      </c>
      <c r="F225">
        <v>72</v>
      </c>
      <c r="G225" t="str">
        <f t="shared" si="24"/>
        <v>PASS</v>
      </c>
      <c r="H225" t="str">
        <f t="shared" si="25"/>
        <v>C</v>
      </c>
      <c r="I225" t="str">
        <f t="shared" si="26"/>
        <v>Good</v>
      </c>
      <c r="J225">
        <f t="shared" si="27"/>
        <v>95</v>
      </c>
      <c r="K225">
        <f t="shared" si="28"/>
        <v>55.98</v>
      </c>
      <c r="L225">
        <f t="shared" si="29"/>
        <v>20</v>
      </c>
      <c r="M225">
        <f t="shared" si="30"/>
        <v>462</v>
      </c>
      <c r="N225">
        <f t="shared" si="31"/>
        <v>38</v>
      </c>
    </row>
    <row r="226" spans="1:14">
      <c r="A226" t="s">
        <v>232</v>
      </c>
      <c r="B226" t="s">
        <v>9</v>
      </c>
      <c r="C226">
        <v>18</v>
      </c>
      <c r="D226">
        <v>70.599999999999994</v>
      </c>
      <c r="E226">
        <v>37</v>
      </c>
      <c r="F226">
        <v>44</v>
      </c>
      <c r="G226" t="str">
        <f t="shared" si="24"/>
        <v>PASS</v>
      </c>
      <c r="H226" t="str">
        <f t="shared" si="25"/>
        <v>E</v>
      </c>
      <c r="I226" t="str">
        <f t="shared" si="26"/>
        <v>Average</v>
      </c>
      <c r="J226">
        <f t="shared" si="27"/>
        <v>95</v>
      </c>
      <c r="K226">
        <f t="shared" si="28"/>
        <v>55.98</v>
      </c>
      <c r="L226">
        <f t="shared" si="29"/>
        <v>20</v>
      </c>
      <c r="M226">
        <f t="shared" si="30"/>
        <v>462</v>
      </c>
      <c r="N226">
        <f t="shared" si="31"/>
        <v>38</v>
      </c>
    </row>
    <row r="227" spans="1:14">
      <c r="A227" t="s">
        <v>233</v>
      </c>
      <c r="B227" t="s">
        <v>7</v>
      </c>
      <c r="C227">
        <v>19</v>
      </c>
      <c r="D227">
        <v>78</v>
      </c>
      <c r="E227">
        <v>52</v>
      </c>
      <c r="F227">
        <v>44</v>
      </c>
      <c r="G227" t="str">
        <f t="shared" si="24"/>
        <v>PASS</v>
      </c>
      <c r="H227" t="str">
        <f t="shared" si="25"/>
        <v>E</v>
      </c>
      <c r="I227" t="str">
        <f t="shared" si="26"/>
        <v>Average</v>
      </c>
      <c r="J227">
        <f t="shared" si="27"/>
        <v>95</v>
      </c>
      <c r="K227">
        <f t="shared" si="28"/>
        <v>55.98</v>
      </c>
      <c r="L227">
        <f t="shared" si="29"/>
        <v>20</v>
      </c>
      <c r="M227">
        <f t="shared" si="30"/>
        <v>462</v>
      </c>
      <c r="N227">
        <f t="shared" si="31"/>
        <v>38</v>
      </c>
    </row>
    <row r="228" spans="1:14">
      <c r="A228" t="s">
        <v>234</v>
      </c>
      <c r="B228" t="s">
        <v>9</v>
      </c>
      <c r="C228">
        <v>19</v>
      </c>
      <c r="D228">
        <v>83.8</v>
      </c>
      <c r="E228">
        <v>61</v>
      </c>
      <c r="F228">
        <v>49</v>
      </c>
      <c r="G228" t="str">
        <f t="shared" si="24"/>
        <v>PASS</v>
      </c>
      <c r="H228" t="str">
        <f t="shared" si="25"/>
        <v>E</v>
      </c>
      <c r="I228" t="str">
        <f t="shared" si="26"/>
        <v>Average</v>
      </c>
      <c r="J228">
        <f t="shared" si="27"/>
        <v>95</v>
      </c>
      <c r="K228">
        <f t="shared" si="28"/>
        <v>55.98</v>
      </c>
      <c r="L228">
        <f t="shared" si="29"/>
        <v>20</v>
      </c>
      <c r="M228">
        <f t="shared" si="30"/>
        <v>462</v>
      </c>
      <c r="N228">
        <f t="shared" si="31"/>
        <v>38</v>
      </c>
    </row>
    <row r="229" spans="1:14">
      <c r="A229" t="s">
        <v>235</v>
      </c>
      <c r="B229" t="s">
        <v>9</v>
      </c>
      <c r="C229">
        <v>16</v>
      </c>
      <c r="D229">
        <v>88.6</v>
      </c>
      <c r="E229">
        <v>91</v>
      </c>
      <c r="F229">
        <v>57</v>
      </c>
      <c r="G229" t="str">
        <f t="shared" si="24"/>
        <v>PASS</v>
      </c>
      <c r="H229" t="str">
        <f t="shared" si="25"/>
        <v>D</v>
      </c>
      <c r="I229" t="str">
        <f t="shared" si="26"/>
        <v>Average</v>
      </c>
      <c r="J229">
        <f t="shared" si="27"/>
        <v>95</v>
      </c>
      <c r="K229">
        <f t="shared" si="28"/>
        <v>55.98</v>
      </c>
      <c r="L229">
        <f t="shared" si="29"/>
        <v>20</v>
      </c>
      <c r="M229">
        <f t="shared" si="30"/>
        <v>462</v>
      </c>
      <c r="N229">
        <f t="shared" si="31"/>
        <v>38</v>
      </c>
    </row>
    <row r="230" spans="1:14">
      <c r="A230" t="s">
        <v>236</v>
      </c>
      <c r="B230" t="s">
        <v>9</v>
      </c>
      <c r="C230">
        <v>17</v>
      </c>
      <c r="D230">
        <v>78.7</v>
      </c>
      <c r="E230">
        <v>74</v>
      </c>
      <c r="F230">
        <v>54</v>
      </c>
      <c r="G230" t="str">
        <f t="shared" si="24"/>
        <v>PASS</v>
      </c>
      <c r="H230" t="str">
        <f t="shared" si="25"/>
        <v>D</v>
      </c>
      <c r="I230" t="str">
        <f t="shared" si="26"/>
        <v>Average</v>
      </c>
      <c r="J230">
        <f t="shared" si="27"/>
        <v>95</v>
      </c>
      <c r="K230">
        <f t="shared" si="28"/>
        <v>55.98</v>
      </c>
      <c r="L230">
        <f t="shared" si="29"/>
        <v>20</v>
      </c>
      <c r="M230">
        <f t="shared" si="30"/>
        <v>462</v>
      </c>
      <c r="N230">
        <f t="shared" si="31"/>
        <v>38</v>
      </c>
    </row>
    <row r="231" spans="1:14">
      <c r="A231" t="s">
        <v>237</v>
      </c>
      <c r="B231" t="s">
        <v>7</v>
      </c>
      <c r="C231">
        <v>17</v>
      </c>
      <c r="D231">
        <v>64.400000000000006</v>
      </c>
      <c r="E231">
        <v>62</v>
      </c>
      <c r="F231">
        <v>44</v>
      </c>
      <c r="G231" t="str">
        <f t="shared" si="24"/>
        <v>PASS</v>
      </c>
      <c r="H231" t="str">
        <f t="shared" si="25"/>
        <v>E</v>
      </c>
      <c r="I231" t="str">
        <f t="shared" si="26"/>
        <v>Average</v>
      </c>
      <c r="J231">
        <f t="shared" si="27"/>
        <v>95</v>
      </c>
      <c r="K231">
        <f t="shared" si="28"/>
        <v>55.98</v>
      </c>
      <c r="L231">
        <f t="shared" si="29"/>
        <v>20</v>
      </c>
      <c r="M231">
        <f t="shared" si="30"/>
        <v>462</v>
      </c>
      <c r="N231">
        <f t="shared" si="31"/>
        <v>38</v>
      </c>
    </row>
    <row r="232" spans="1:14">
      <c r="A232" t="s">
        <v>238</v>
      </c>
      <c r="B232" t="s">
        <v>9</v>
      </c>
      <c r="C232">
        <v>16</v>
      </c>
      <c r="D232">
        <v>91.4</v>
      </c>
      <c r="E232">
        <v>43</v>
      </c>
      <c r="F232">
        <v>52</v>
      </c>
      <c r="G232" t="str">
        <f t="shared" si="24"/>
        <v>PASS</v>
      </c>
      <c r="H232" t="str">
        <f t="shared" si="25"/>
        <v>D</v>
      </c>
      <c r="I232" t="str">
        <f t="shared" si="26"/>
        <v>Average</v>
      </c>
      <c r="J232">
        <f t="shared" si="27"/>
        <v>95</v>
      </c>
      <c r="K232">
        <f t="shared" si="28"/>
        <v>55.98</v>
      </c>
      <c r="L232">
        <f t="shared" si="29"/>
        <v>20</v>
      </c>
      <c r="M232">
        <f t="shared" si="30"/>
        <v>462</v>
      </c>
      <c r="N232">
        <f t="shared" si="31"/>
        <v>38</v>
      </c>
    </row>
    <row r="233" spans="1:14">
      <c r="A233" t="s">
        <v>239</v>
      </c>
      <c r="B233" t="s">
        <v>7</v>
      </c>
      <c r="C233">
        <v>16</v>
      </c>
      <c r="D233">
        <v>83.5</v>
      </c>
      <c r="E233">
        <v>36</v>
      </c>
      <c r="F233">
        <v>24</v>
      </c>
      <c r="G233" t="str">
        <f t="shared" si="24"/>
        <v>FAIL</v>
      </c>
      <c r="H233" t="str">
        <f t="shared" si="25"/>
        <v>E</v>
      </c>
      <c r="I233" t="str">
        <f t="shared" si="26"/>
        <v>Poor</v>
      </c>
      <c r="J233">
        <f t="shared" si="27"/>
        <v>95</v>
      </c>
      <c r="K233">
        <f t="shared" si="28"/>
        <v>55.98</v>
      </c>
      <c r="L233">
        <f t="shared" si="29"/>
        <v>20</v>
      </c>
      <c r="M233">
        <f t="shared" si="30"/>
        <v>462</v>
      </c>
      <c r="N233">
        <f t="shared" si="31"/>
        <v>38</v>
      </c>
    </row>
    <row r="234" spans="1:14">
      <c r="A234" t="s">
        <v>240</v>
      </c>
      <c r="B234" t="s">
        <v>9</v>
      </c>
      <c r="C234">
        <v>17</v>
      </c>
      <c r="D234">
        <v>73.599999999999994</v>
      </c>
      <c r="E234">
        <v>82</v>
      </c>
      <c r="F234">
        <v>79</v>
      </c>
      <c r="G234" t="str">
        <f t="shared" si="24"/>
        <v>PASS</v>
      </c>
      <c r="H234" t="str">
        <f t="shared" si="25"/>
        <v>C</v>
      </c>
      <c r="I234" t="str">
        <f t="shared" si="26"/>
        <v>Good</v>
      </c>
      <c r="J234">
        <f t="shared" si="27"/>
        <v>95</v>
      </c>
      <c r="K234">
        <f t="shared" si="28"/>
        <v>55.98</v>
      </c>
      <c r="L234">
        <f t="shared" si="29"/>
        <v>20</v>
      </c>
      <c r="M234">
        <f t="shared" si="30"/>
        <v>462</v>
      </c>
      <c r="N234">
        <f t="shared" si="31"/>
        <v>38</v>
      </c>
    </row>
    <row r="235" spans="1:14">
      <c r="A235" t="s">
        <v>241</v>
      </c>
      <c r="B235" t="s">
        <v>9</v>
      </c>
      <c r="C235">
        <v>18</v>
      </c>
      <c r="D235">
        <v>60</v>
      </c>
      <c r="E235">
        <v>37</v>
      </c>
      <c r="F235">
        <v>67</v>
      </c>
      <c r="G235" t="str">
        <f t="shared" si="24"/>
        <v>PASS</v>
      </c>
      <c r="H235" t="str">
        <f t="shared" si="25"/>
        <v>C</v>
      </c>
      <c r="I235" t="str">
        <f t="shared" si="26"/>
        <v>Good</v>
      </c>
      <c r="J235">
        <f t="shared" si="27"/>
        <v>95</v>
      </c>
      <c r="K235">
        <f t="shared" si="28"/>
        <v>55.98</v>
      </c>
      <c r="L235">
        <f t="shared" si="29"/>
        <v>20</v>
      </c>
      <c r="M235">
        <f t="shared" si="30"/>
        <v>462</v>
      </c>
      <c r="N235">
        <f t="shared" si="31"/>
        <v>38</v>
      </c>
    </row>
    <row r="236" spans="1:14">
      <c r="A236" t="s">
        <v>242</v>
      </c>
      <c r="B236" t="s">
        <v>7</v>
      </c>
      <c r="C236">
        <v>19</v>
      </c>
      <c r="D236">
        <v>76.8</v>
      </c>
      <c r="E236">
        <v>52</v>
      </c>
      <c r="F236">
        <v>32</v>
      </c>
      <c r="G236" t="str">
        <f t="shared" si="24"/>
        <v>FAIL</v>
      </c>
      <c r="H236" t="str">
        <f t="shared" si="25"/>
        <v>E</v>
      </c>
      <c r="I236" t="str">
        <f t="shared" si="26"/>
        <v>Poor</v>
      </c>
      <c r="J236">
        <f t="shared" si="27"/>
        <v>95</v>
      </c>
      <c r="K236">
        <f t="shared" si="28"/>
        <v>55.98</v>
      </c>
      <c r="L236">
        <f t="shared" si="29"/>
        <v>20</v>
      </c>
      <c r="M236">
        <f t="shared" si="30"/>
        <v>462</v>
      </c>
      <c r="N236">
        <f t="shared" si="31"/>
        <v>38</v>
      </c>
    </row>
    <row r="237" spans="1:14">
      <c r="A237" t="s">
        <v>243</v>
      </c>
      <c r="B237" t="s">
        <v>9</v>
      </c>
      <c r="C237">
        <v>18</v>
      </c>
      <c r="D237">
        <v>96.8</v>
      </c>
      <c r="E237">
        <v>68</v>
      </c>
      <c r="F237">
        <v>56</v>
      </c>
      <c r="G237" t="str">
        <f t="shared" si="24"/>
        <v>PASS</v>
      </c>
      <c r="H237" t="str">
        <f t="shared" si="25"/>
        <v>D</v>
      </c>
      <c r="I237" t="str">
        <f t="shared" si="26"/>
        <v>Average</v>
      </c>
      <c r="J237">
        <f t="shared" si="27"/>
        <v>95</v>
      </c>
      <c r="K237">
        <f t="shared" si="28"/>
        <v>55.98</v>
      </c>
      <c r="L237">
        <f t="shared" si="29"/>
        <v>20</v>
      </c>
      <c r="M237">
        <f t="shared" si="30"/>
        <v>462</v>
      </c>
      <c r="N237">
        <f t="shared" si="31"/>
        <v>38</v>
      </c>
    </row>
    <row r="238" spans="1:14">
      <c r="A238" t="s">
        <v>244</v>
      </c>
      <c r="B238" t="s">
        <v>7</v>
      </c>
      <c r="C238">
        <v>17</v>
      </c>
      <c r="D238">
        <v>72.7</v>
      </c>
      <c r="E238">
        <v>94</v>
      </c>
      <c r="F238">
        <v>56</v>
      </c>
      <c r="G238" t="str">
        <f t="shared" si="24"/>
        <v>PASS</v>
      </c>
      <c r="H238" t="str">
        <f t="shared" si="25"/>
        <v>D</v>
      </c>
      <c r="I238" t="str">
        <f t="shared" si="26"/>
        <v>Average</v>
      </c>
      <c r="J238">
        <f t="shared" si="27"/>
        <v>95</v>
      </c>
      <c r="K238">
        <f t="shared" si="28"/>
        <v>55.98</v>
      </c>
      <c r="L238">
        <f t="shared" si="29"/>
        <v>20</v>
      </c>
      <c r="M238">
        <f t="shared" si="30"/>
        <v>462</v>
      </c>
      <c r="N238">
        <f t="shared" si="31"/>
        <v>38</v>
      </c>
    </row>
    <row r="239" spans="1:14">
      <c r="A239" t="s">
        <v>245</v>
      </c>
      <c r="B239" t="s">
        <v>9</v>
      </c>
      <c r="C239">
        <v>16</v>
      </c>
      <c r="D239">
        <v>55.6</v>
      </c>
      <c r="E239">
        <v>53</v>
      </c>
      <c r="F239">
        <v>52</v>
      </c>
      <c r="G239" t="str">
        <f t="shared" si="24"/>
        <v>PASS</v>
      </c>
      <c r="H239" t="str">
        <f t="shared" si="25"/>
        <v>D</v>
      </c>
      <c r="I239" t="str">
        <f t="shared" si="26"/>
        <v>Average</v>
      </c>
      <c r="J239">
        <f t="shared" si="27"/>
        <v>95</v>
      </c>
      <c r="K239">
        <f t="shared" si="28"/>
        <v>55.98</v>
      </c>
      <c r="L239">
        <f t="shared" si="29"/>
        <v>20</v>
      </c>
      <c r="M239">
        <f t="shared" si="30"/>
        <v>462</v>
      </c>
      <c r="N239">
        <f t="shared" si="31"/>
        <v>38</v>
      </c>
    </row>
    <row r="240" spans="1:14">
      <c r="A240" t="s">
        <v>246</v>
      </c>
      <c r="B240" t="s">
        <v>9</v>
      </c>
      <c r="C240">
        <v>17</v>
      </c>
      <c r="D240">
        <v>83.7</v>
      </c>
      <c r="E240">
        <v>84</v>
      </c>
      <c r="F240">
        <v>72</v>
      </c>
      <c r="G240" t="str">
        <f t="shared" si="24"/>
        <v>PASS</v>
      </c>
      <c r="H240" t="str">
        <f t="shared" si="25"/>
        <v>C</v>
      </c>
      <c r="I240" t="str">
        <f t="shared" si="26"/>
        <v>Good</v>
      </c>
      <c r="J240">
        <f t="shared" si="27"/>
        <v>95</v>
      </c>
      <c r="K240">
        <f t="shared" si="28"/>
        <v>55.98</v>
      </c>
      <c r="L240">
        <f t="shared" si="29"/>
        <v>20</v>
      </c>
      <c r="M240">
        <f t="shared" si="30"/>
        <v>462</v>
      </c>
      <c r="N240">
        <f t="shared" si="31"/>
        <v>38</v>
      </c>
    </row>
    <row r="241" spans="1:14">
      <c r="A241" t="s">
        <v>247</v>
      </c>
      <c r="B241" t="s">
        <v>9</v>
      </c>
      <c r="C241">
        <v>15</v>
      </c>
      <c r="D241">
        <v>83.5</v>
      </c>
      <c r="E241">
        <v>71</v>
      </c>
      <c r="F241">
        <v>52</v>
      </c>
      <c r="G241" t="str">
        <f t="shared" si="24"/>
        <v>PASS</v>
      </c>
      <c r="H241" t="str">
        <f t="shared" si="25"/>
        <v>D</v>
      </c>
      <c r="I241" t="str">
        <f t="shared" si="26"/>
        <v>Average</v>
      </c>
      <c r="J241">
        <f t="shared" si="27"/>
        <v>95</v>
      </c>
      <c r="K241">
        <f t="shared" si="28"/>
        <v>55.98</v>
      </c>
      <c r="L241">
        <f t="shared" si="29"/>
        <v>20</v>
      </c>
      <c r="M241">
        <f t="shared" si="30"/>
        <v>462</v>
      </c>
      <c r="N241">
        <f t="shared" si="31"/>
        <v>38</v>
      </c>
    </row>
    <row r="242" spans="1:14">
      <c r="A242" t="s">
        <v>248</v>
      </c>
      <c r="B242" t="s">
        <v>7</v>
      </c>
      <c r="C242">
        <v>17</v>
      </c>
      <c r="D242">
        <v>61.8</v>
      </c>
      <c r="E242">
        <v>31</v>
      </c>
      <c r="F242">
        <v>38</v>
      </c>
      <c r="G242" t="str">
        <f t="shared" si="24"/>
        <v>PASS</v>
      </c>
      <c r="H242" t="str">
        <f t="shared" si="25"/>
        <v>E</v>
      </c>
      <c r="I242" t="str">
        <f t="shared" si="26"/>
        <v>Poor</v>
      </c>
      <c r="J242">
        <f t="shared" si="27"/>
        <v>95</v>
      </c>
      <c r="K242">
        <f t="shared" si="28"/>
        <v>55.98</v>
      </c>
      <c r="L242">
        <f t="shared" si="29"/>
        <v>20</v>
      </c>
      <c r="M242">
        <f t="shared" si="30"/>
        <v>462</v>
      </c>
      <c r="N242">
        <f t="shared" si="31"/>
        <v>38</v>
      </c>
    </row>
    <row r="243" spans="1:14">
      <c r="A243" t="s">
        <v>249</v>
      </c>
      <c r="B243" t="s">
        <v>9</v>
      </c>
      <c r="C243">
        <v>16</v>
      </c>
      <c r="D243">
        <v>83.4</v>
      </c>
      <c r="E243">
        <v>81</v>
      </c>
      <c r="F243">
        <v>51</v>
      </c>
      <c r="G243" t="str">
        <f t="shared" si="24"/>
        <v>PASS</v>
      </c>
      <c r="H243" t="str">
        <f t="shared" si="25"/>
        <v>D</v>
      </c>
      <c r="I243" t="str">
        <f t="shared" si="26"/>
        <v>Average</v>
      </c>
      <c r="J243">
        <f t="shared" si="27"/>
        <v>95</v>
      </c>
      <c r="K243">
        <f t="shared" si="28"/>
        <v>55.98</v>
      </c>
      <c r="L243">
        <f t="shared" si="29"/>
        <v>20</v>
      </c>
      <c r="M243">
        <f t="shared" si="30"/>
        <v>462</v>
      </c>
      <c r="N243">
        <f t="shared" si="31"/>
        <v>38</v>
      </c>
    </row>
    <row r="244" spans="1:14">
      <c r="A244" t="s">
        <v>250</v>
      </c>
      <c r="B244" t="s">
        <v>9</v>
      </c>
      <c r="C244">
        <v>15</v>
      </c>
      <c r="D244">
        <v>95.8</v>
      </c>
      <c r="E244">
        <v>58</v>
      </c>
      <c r="F244">
        <v>62</v>
      </c>
      <c r="G244" t="str">
        <f t="shared" si="24"/>
        <v>PASS</v>
      </c>
      <c r="H244" t="str">
        <f t="shared" si="25"/>
        <v>C</v>
      </c>
      <c r="I244" t="str">
        <f t="shared" si="26"/>
        <v>Good</v>
      </c>
      <c r="J244">
        <f t="shared" si="27"/>
        <v>95</v>
      </c>
      <c r="K244">
        <f t="shared" si="28"/>
        <v>55.98</v>
      </c>
      <c r="L244">
        <f t="shared" si="29"/>
        <v>20</v>
      </c>
      <c r="M244">
        <f t="shared" si="30"/>
        <v>462</v>
      </c>
      <c r="N244">
        <f t="shared" si="31"/>
        <v>38</v>
      </c>
    </row>
    <row r="245" spans="1:14">
      <c r="A245" t="s">
        <v>251</v>
      </c>
      <c r="B245" t="s">
        <v>9</v>
      </c>
      <c r="C245">
        <v>16</v>
      </c>
      <c r="D245">
        <v>87.4</v>
      </c>
      <c r="E245">
        <v>90</v>
      </c>
      <c r="F245">
        <v>77</v>
      </c>
      <c r="G245" t="str">
        <f t="shared" si="24"/>
        <v>PASS</v>
      </c>
      <c r="H245" t="str">
        <f t="shared" si="25"/>
        <v>C</v>
      </c>
      <c r="I245" t="str">
        <f t="shared" si="26"/>
        <v>Good</v>
      </c>
      <c r="J245">
        <f t="shared" si="27"/>
        <v>95</v>
      </c>
      <c r="K245">
        <f t="shared" si="28"/>
        <v>55.98</v>
      </c>
      <c r="L245">
        <f t="shared" si="29"/>
        <v>20</v>
      </c>
      <c r="M245">
        <f t="shared" si="30"/>
        <v>462</v>
      </c>
      <c r="N245">
        <f t="shared" si="31"/>
        <v>38</v>
      </c>
    </row>
    <row r="246" spans="1:14">
      <c r="A246" t="s">
        <v>252</v>
      </c>
      <c r="B246" t="s">
        <v>7</v>
      </c>
      <c r="C246">
        <v>16</v>
      </c>
      <c r="D246">
        <v>87.7</v>
      </c>
      <c r="E246">
        <v>39</v>
      </c>
      <c r="F246">
        <v>71</v>
      </c>
      <c r="G246" t="str">
        <f t="shared" si="24"/>
        <v>PASS</v>
      </c>
      <c r="H246" t="str">
        <f t="shared" si="25"/>
        <v>C</v>
      </c>
      <c r="I246" t="str">
        <f t="shared" si="26"/>
        <v>Good</v>
      </c>
      <c r="J246">
        <f t="shared" si="27"/>
        <v>95</v>
      </c>
      <c r="K246">
        <f t="shared" si="28"/>
        <v>55.98</v>
      </c>
      <c r="L246">
        <f t="shared" si="29"/>
        <v>20</v>
      </c>
      <c r="M246">
        <f t="shared" si="30"/>
        <v>462</v>
      </c>
      <c r="N246">
        <f t="shared" si="31"/>
        <v>38</v>
      </c>
    </row>
    <row r="247" spans="1:14">
      <c r="A247" t="s">
        <v>253</v>
      </c>
      <c r="B247" t="s">
        <v>7</v>
      </c>
      <c r="C247">
        <v>15</v>
      </c>
      <c r="D247">
        <v>77.400000000000006</v>
      </c>
      <c r="E247">
        <v>51</v>
      </c>
      <c r="F247">
        <v>70</v>
      </c>
      <c r="G247" t="str">
        <f t="shared" si="24"/>
        <v>PASS</v>
      </c>
      <c r="H247" t="str">
        <f t="shared" si="25"/>
        <v>C</v>
      </c>
      <c r="I247" t="str">
        <f t="shared" si="26"/>
        <v>Good</v>
      </c>
      <c r="J247">
        <f t="shared" si="27"/>
        <v>95</v>
      </c>
      <c r="K247">
        <f t="shared" si="28"/>
        <v>55.98</v>
      </c>
      <c r="L247">
        <f t="shared" si="29"/>
        <v>20</v>
      </c>
      <c r="M247">
        <f t="shared" si="30"/>
        <v>462</v>
      </c>
      <c r="N247">
        <f t="shared" si="31"/>
        <v>38</v>
      </c>
    </row>
    <row r="248" spans="1:14">
      <c r="A248" t="s">
        <v>254</v>
      </c>
      <c r="B248" t="s">
        <v>9</v>
      </c>
      <c r="C248">
        <v>15</v>
      </c>
      <c r="D248">
        <v>60.3</v>
      </c>
      <c r="E248">
        <v>95</v>
      </c>
      <c r="F248">
        <v>70</v>
      </c>
      <c r="G248" t="str">
        <f t="shared" si="24"/>
        <v>PASS</v>
      </c>
      <c r="H248" t="str">
        <f t="shared" si="25"/>
        <v>C</v>
      </c>
      <c r="I248" t="str">
        <f t="shared" si="26"/>
        <v>Good</v>
      </c>
      <c r="J248">
        <f t="shared" si="27"/>
        <v>95</v>
      </c>
      <c r="K248">
        <f t="shared" si="28"/>
        <v>55.98</v>
      </c>
      <c r="L248">
        <f t="shared" si="29"/>
        <v>20</v>
      </c>
      <c r="M248">
        <f t="shared" si="30"/>
        <v>462</v>
      </c>
      <c r="N248">
        <f t="shared" si="31"/>
        <v>38</v>
      </c>
    </row>
    <row r="249" spans="1:14">
      <c r="A249" t="s">
        <v>255</v>
      </c>
      <c r="B249" t="s">
        <v>7</v>
      </c>
      <c r="C249">
        <v>18</v>
      </c>
      <c r="D249">
        <v>75.7</v>
      </c>
      <c r="E249">
        <v>69</v>
      </c>
      <c r="F249">
        <v>53</v>
      </c>
      <c r="G249" t="str">
        <f t="shared" si="24"/>
        <v>PASS</v>
      </c>
      <c r="H249" t="str">
        <f t="shared" si="25"/>
        <v>D</v>
      </c>
      <c r="I249" t="str">
        <f t="shared" si="26"/>
        <v>Average</v>
      </c>
      <c r="J249">
        <f t="shared" si="27"/>
        <v>95</v>
      </c>
      <c r="K249">
        <f t="shared" si="28"/>
        <v>55.98</v>
      </c>
      <c r="L249">
        <f t="shared" si="29"/>
        <v>20</v>
      </c>
      <c r="M249">
        <f t="shared" si="30"/>
        <v>462</v>
      </c>
      <c r="N249">
        <f t="shared" si="31"/>
        <v>38</v>
      </c>
    </row>
    <row r="250" spans="1:14">
      <c r="A250" t="s">
        <v>256</v>
      </c>
      <c r="B250" t="s">
        <v>7</v>
      </c>
      <c r="C250">
        <v>18</v>
      </c>
      <c r="D250">
        <v>90.8</v>
      </c>
      <c r="E250">
        <v>84</v>
      </c>
      <c r="F250">
        <v>55</v>
      </c>
      <c r="G250" t="str">
        <f t="shared" si="24"/>
        <v>PASS</v>
      </c>
      <c r="H250" t="str">
        <f t="shared" si="25"/>
        <v>D</v>
      </c>
      <c r="I250" t="str">
        <f t="shared" si="26"/>
        <v>Average</v>
      </c>
      <c r="J250">
        <f t="shared" si="27"/>
        <v>95</v>
      </c>
      <c r="K250">
        <f t="shared" si="28"/>
        <v>55.98</v>
      </c>
      <c r="L250">
        <f t="shared" si="29"/>
        <v>20</v>
      </c>
      <c r="M250">
        <f t="shared" si="30"/>
        <v>462</v>
      </c>
      <c r="N250">
        <f t="shared" si="31"/>
        <v>38</v>
      </c>
    </row>
    <row r="251" spans="1:14">
      <c r="A251" t="s">
        <v>257</v>
      </c>
      <c r="B251" t="s">
        <v>7</v>
      </c>
      <c r="C251">
        <v>19</v>
      </c>
      <c r="D251">
        <v>96.7</v>
      </c>
      <c r="E251">
        <v>66</v>
      </c>
      <c r="F251">
        <v>44</v>
      </c>
      <c r="G251" t="str">
        <f t="shared" si="24"/>
        <v>PASS</v>
      </c>
      <c r="H251" t="str">
        <f t="shared" si="25"/>
        <v>E</v>
      </c>
      <c r="I251" t="str">
        <f t="shared" si="26"/>
        <v>Average</v>
      </c>
      <c r="J251">
        <f t="shared" si="27"/>
        <v>95</v>
      </c>
      <c r="K251">
        <f t="shared" si="28"/>
        <v>55.98</v>
      </c>
      <c r="L251">
        <f t="shared" si="29"/>
        <v>20</v>
      </c>
      <c r="M251">
        <f t="shared" si="30"/>
        <v>462</v>
      </c>
      <c r="N251">
        <f t="shared" si="31"/>
        <v>38</v>
      </c>
    </row>
    <row r="252" spans="1:14">
      <c r="A252" t="s">
        <v>258</v>
      </c>
      <c r="B252" t="s">
        <v>7</v>
      </c>
      <c r="C252">
        <v>16</v>
      </c>
      <c r="D252">
        <v>82.1</v>
      </c>
      <c r="E252">
        <v>87</v>
      </c>
      <c r="F252">
        <v>78</v>
      </c>
      <c r="G252" t="str">
        <f t="shared" si="24"/>
        <v>PASS</v>
      </c>
      <c r="H252" t="str">
        <f t="shared" si="25"/>
        <v>C</v>
      </c>
      <c r="I252" t="str">
        <f t="shared" si="26"/>
        <v>Good</v>
      </c>
      <c r="J252">
        <f t="shared" si="27"/>
        <v>95</v>
      </c>
      <c r="K252">
        <f t="shared" si="28"/>
        <v>55.98</v>
      </c>
      <c r="L252">
        <f t="shared" si="29"/>
        <v>20</v>
      </c>
      <c r="M252">
        <f t="shared" si="30"/>
        <v>462</v>
      </c>
      <c r="N252">
        <f t="shared" si="31"/>
        <v>38</v>
      </c>
    </row>
    <row r="253" spans="1:14">
      <c r="A253" t="s">
        <v>259</v>
      </c>
      <c r="B253" t="s">
        <v>9</v>
      </c>
      <c r="C253">
        <v>15</v>
      </c>
      <c r="D253">
        <v>98.2</v>
      </c>
      <c r="E253">
        <v>45</v>
      </c>
      <c r="F253">
        <v>62</v>
      </c>
      <c r="G253" t="str">
        <f t="shared" si="24"/>
        <v>PASS</v>
      </c>
      <c r="H253" t="str">
        <f t="shared" si="25"/>
        <v>C</v>
      </c>
      <c r="I253" t="str">
        <f t="shared" si="26"/>
        <v>Good</v>
      </c>
      <c r="J253">
        <f t="shared" si="27"/>
        <v>95</v>
      </c>
      <c r="K253">
        <f t="shared" si="28"/>
        <v>55.98</v>
      </c>
      <c r="L253">
        <f t="shared" si="29"/>
        <v>20</v>
      </c>
      <c r="M253">
        <f t="shared" si="30"/>
        <v>462</v>
      </c>
      <c r="N253">
        <f t="shared" si="31"/>
        <v>38</v>
      </c>
    </row>
    <row r="254" spans="1:14">
      <c r="A254" t="s">
        <v>260</v>
      </c>
      <c r="B254" t="s">
        <v>9</v>
      </c>
      <c r="C254">
        <v>19</v>
      </c>
      <c r="D254">
        <v>86.4</v>
      </c>
      <c r="E254">
        <v>68</v>
      </c>
      <c r="F254">
        <v>47</v>
      </c>
      <c r="G254" t="str">
        <f t="shared" si="24"/>
        <v>PASS</v>
      </c>
      <c r="H254" t="str">
        <f t="shared" si="25"/>
        <v>E</v>
      </c>
      <c r="I254" t="str">
        <f t="shared" si="26"/>
        <v>Average</v>
      </c>
      <c r="J254">
        <f t="shared" si="27"/>
        <v>95</v>
      </c>
      <c r="K254">
        <f t="shared" si="28"/>
        <v>55.98</v>
      </c>
      <c r="L254">
        <f t="shared" si="29"/>
        <v>20</v>
      </c>
      <c r="M254">
        <f t="shared" si="30"/>
        <v>462</v>
      </c>
      <c r="N254">
        <f t="shared" si="31"/>
        <v>38</v>
      </c>
    </row>
    <row r="255" spans="1:14">
      <c r="A255" t="s">
        <v>261</v>
      </c>
      <c r="B255" t="s">
        <v>9</v>
      </c>
      <c r="C255">
        <v>19</v>
      </c>
      <c r="D255">
        <v>91.2</v>
      </c>
      <c r="E255">
        <v>49</v>
      </c>
      <c r="F255">
        <v>51</v>
      </c>
      <c r="G255" t="str">
        <f t="shared" si="24"/>
        <v>PASS</v>
      </c>
      <c r="H255" t="str">
        <f t="shared" si="25"/>
        <v>D</v>
      </c>
      <c r="I255" t="str">
        <f t="shared" si="26"/>
        <v>Average</v>
      </c>
      <c r="J255">
        <f t="shared" si="27"/>
        <v>95</v>
      </c>
      <c r="K255">
        <f t="shared" si="28"/>
        <v>55.98</v>
      </c>
      <c r="L255">
        <f t="shared" si="29"/>
        <v>20</v>
      </c>
      <c r="M255">
        <f t="shared" si="30"/>
        <v>462</v>
      </c>
      <c r="N255">
        <f t="shared" si="31"/>
        <v>38</v>
      </c>
    </row>
    <row r="256" spans="1:14">
      <c r="A256" t="s">
        <v>262</v>
      </c>
      <c r="B256" t="s">
        <v>7</v>
      </c>
      <c r="C256">
        <v>15</v>
      </c>
      <c r="D256">
        <v>90.5</v>
      </c>
      <c r="E256">
        <v>56</v>
      </c>
      <c r="F256">
        <v>29</v>
      </c>
      <c r="G256" t="str">
        <f t="shared" si="24"/>
        <v>FAIL</v>
      </c>
      <c r="H256" t="str">
        <f t="shared" si="25"/>
        <v>E</v>
      </c>
      <c r="I256" t="str">
        <f t="shared" si="26"/>
        <v>Poor</v>
      </c>
      <c r="J256">
        <f t="shared" si="27"/>
        <v>95</v>
      </c>
      <c r="K256">
        <f t="shared" si="28"/>
        <v>55.98</v>
      </c>
      <c r="L256">
        <f t="shared" si="29"/>
        <v>20</v>
      </c>
      <c r="M256">
        <f t="shared" si="30"/>
        <v>462</v>
      </c>
      <c r="N256">
        <f t="shared" si="31"/>
        <v>38</v>
      </c>
    </row>
    <row r="257" spans="1:14">
      <c r="A257" t="s">
        <v>263</v>
      </c>
      <c r="B257" t="s">
        <v>7</v>
      </c>
      <c r="C257">
        <v>19</v>
      </c>
      <c r="D257">
        <v>72.3</v>
      </c>
      <c r="E257">
        <v>81</v>
      </c>
      <c r="F257">
        <v>41</v>
      </c>
      <c r="G257" t="str">
        <f t="shared" si="24"/>
        <v>PASS</v>
      </c>
      <c r="H257" t="str">
        <f t="shared" si="25"/>
        <v>E</v>
      </c>
      <c r="I257" t="str">
        <f t="shared" si="26"/>
        <v>Average</v>
      </c>
      <c r="J257">
        <f t="shared" si="27"/>
        <v>95</v>
      </c>
      <c r="K257">
        <f t="shared" si="28"/>
        <v>55.98</v>
      </c>
      <c r="L257">
        <f t="shared" si="29"/>
        <v>20</v>
      </c>
      <c r="M257">
        <f t="shared" si="30"/>
        <v>462</v>
      </c>
      <c r="N257">
        <f t="shared" si="31"/>
        <v>38</v>
      </c>
    </row>
    <row r="258" spans="1:14">
      <c r="A258" t="s">
        <v>264</v>
      </c>
      <c r="B258" t="s">
        <v>7</v>
      </c>
      <c r="C258">
        <v>19</v>
      </c>
      <c r="D258">
        <v>87.7</v>
      </c>
      <c r="E258">
        <v>59</v>
      </c>
      <c r="F258">
        <v>58</v>
      </c>
      <c r="G258" t="str">
        <f t="shared" ref="G258:G321" si="32">IF(F258&gt;33,"PASS","FAIL")</f>
        <v>PASS</v>
      </c>
      <c r="H258" t="str">
        <f t="shared" ref="H258:H321" si="33">IF(F258&gt;90,"A",IF(F258&gt;=80,"B",IF(F258&gt;=60,"C",IF(F258&gt;=50,"D","E"))))</f>
        <v>D</v>
      </c>
      <c r="I258" t="str">
        <f t="shared" ref="I258:I321" si="34">IF(F258&gt;=80,"Excellent",IF(F258&gt;=60,"Good",IF(F258&gt;=40,"Average","Poor")))</f>
        <v>Average</v>
      </c>
      <c r="J258">
        <f t="shared" ref="J258:J321" si="35">MAX(F:F)</f>
        <v>95</v>
      </c>
      <c r="K258">
        <f t="shared" ref="K258:K321" si="36">AVERAGE(F:F)</f>
        <v>55.98</v>
      </c>
      <c r="L258">
        <f t="shared" ref="L258:L321" si="37">MIN(F:F)</f>
        <v>20</v>
      </c>
      <c r="M258">
        <f t="shared" ref="M258:M321" si="38">COUNTIF(G:G,"pass")</f>
        <v>462</v>
      </c>
      <c r="N258">
        <f t="shared" ref="N258:N321" si="39">COUNTIF(G:G,"fail")</f>
        <v>38</v>
      </c>
    </row>
    <row r="259" spans="1:14">
      <c r="A259" t="s">
        <v>265</v>
      </c>
      <c r="B259" t="s">
        <v>9</v>
      </c>
      <c r="C259">
        <v>19</v>
      </c>
      <c r="D259">
        <v>88.6</v>
      </c>
      <c r="E259">
        <v>48</v>
      </c>
      <c r="F259">
        <v>73</v>
      </c>
      <c r="G259" t="str">
        <f t="shared" si="32"/>
        <v>PASS</v>
      </c>
      <c r="H259" t="str">
        <f t="shared" si="33"/>
        <v>C</v>
      </c>
      <c r="I259" t="str">
        <f t="shared" si="34"/>
        <v>Good</v>
      </c>
      <c r="J259">
        <f t="shared" si="35"/>
        <v>95</v>
      </c>
      <c r="K259">
        <f t="shared" si="36"/>
        <v>55.98</v>
      </c>
      <c r="L259">
        <f t="shared" si="37"/>
        <v>20</v>
      </c>
      <c r="M259">
        <f t="shared" si="38"/>
        <v>462</v>
      </c>
      <c r="N259">
        <f t="shared" si="39"/>
        <v>38</v>
      </c>
    </row>
    <row r="260" spans="1:14">
      <c r="A260" t="s">
        <v>266</v>
      </c>
      <c r="B260" t="s">
        <v>7</v>
      </c>
      <c r="C260">
        <v>18</v>
      </c>
      <c r="D260">
        <v>63.8</v>
      </c>
      <c r="E260">
        <v>93</v>
      </c>
      <c r="F260">
        <v>40</v>
      </c>
      <c r="G260" t="str">
        <f t="shared" si="32"/>
        <v>PASS</v>
      </c>
      <c r="H260" t="str">
        <f t="shared" si="33"/>
        <v>E</v>
      </c>
      <c r="I260" t="str">
        <f t="shared" si="34"/>
        <v>Average</v>
      </c>
      <c r="J260">
        <f t="shared" si="35"/>
        <v>95</v>
      </c>
      <c r="K260">
        <f t="shared" si="36"/>
        <v>55.98</v>
      </c>
      <c r="L260">
        <f t="shared" si="37"/>
        <v>20</v>
      </c>
      <c r="M260">
        <f t="shared" si="38"/>
        <v>462</v>
      </c>
      <c r="N260">
        <f t="shared" si="39"/>
        <v>38</v>
      </c>
    </row>
    <row r="261" spans="1:14">
      <c r="A261" t="s">
        <v>267</v>
      </c>
      <c r="B261" t="s">
        <v>9</v>
      </c>
      <c r="C261">
        <v>18</v>
      </c>
      <c r="D261">
        <v>76.2</v>
      </c>
      <c r="E261">
        <v>68</v>
      </c>
      <c r="F261">
        <v>73</v>
      </c>
      <c r="G261" t="str">
        <f t="shared" si="32"/>
        <v>PASS</v>
      </c>
      <c r="H261" t="str">
        <f t="shared" si="33"/>
        <v>C</v>
      </c>
      <c r="I261" t="str">
        <f t="shared" si="34"/>
        <v>Good</v>
      </c>
      <c r="J261">
        <f t="shared" si="35"/>
        <v>95</v>
      </c>
      <c r="K261">
        <f t="shared" si="36"/>
        <v>55.98</v>
      </c>
      <c r="L261">
        <f t="shared" si="37"/>
        <v>20</v>
      </c>
      <c r="M261">
        <f t="shared" si="38"/>
        <v>462</v>
      </c>
      <c r="N261">
        <f t="shared" si="39"/>
        <v>38</v>
      </c>
    </row>
    <row r="262" spans="1:14">
      <c r="A262" t="s">
        <v>268</v>
      </c>
      <c r="B262" t="s">
        <v>7</v>
      </c>
      <c r="C262">
        <v>19</v>
      </c>
      <c r="D262">
        <v>62</v>
      </c>
      <c r="E262">
        <v>89</v>
      </c>
      <c r="F262">
        <v>47</v>
      </c>
      <c r="G262" t="str">
        <f t="shared" si="32"/>
        <v>PASS</v>
      </c>
      <c r="H262" t="str">
        <f t="shared" si="33"/>
        <v>E</v>
      </c>
      <c r="I262" t="str">
        <f t="shared" si="34"/>
        <v>Average</v>
      </c>
      <c r="J262">
        <f t="shared" si="35"/>
        <v>95</v>
      </c>
      <c r="K262">
        <f t="shared" si="36"/>
        <v>55.98</v>
      </c>
      <c r="L262">
        <f t="shared" si="37"/>
        <v>20</v>
      </c>
      <c r="M262">
        <f t="shared" si="38"/>
        <v>462</v>
      </c>
      <c r="N262">
        <f t="shared" si="39"/>
        <v>38</v>
      </c>
    </row>
    <row r="263" spans="1:14">
      <c r="A263" t="s">
        <v>269</v>
      </c>
      <c r="B263" t="s">
        <v>9</v>
      </c>
      <c r="C263">
        <v>18</v>
      </c>
      <c r="D263">
        <v>76.5</v>
      </c>
      <c r="E263">
        <v>56</v>
      </c>
      <c r="F263">
        <v>57</v>
      </c>
      <c r="G263" t="str">
        <f t="shared" si="32"/>
        <v>PASS</v>
      </c>
      <c r="H263" t="str">
        <f t="shared" si="33"/>
        <v>D</v>
      </c>
      <c r="I263" t="str">
        <f t="shared" si="34"/>
        <v>Average</v>
      </c>
      <c r="J263">
        <f t="shared" si="35"/>
        <v>95</v>
      </c>
      <c r="K263">
        <f t="shared" si="36"/>
        <v>55.98</v>
      </c>
      <c r="L263">
        <f t="shared" si="37"/>
        <v>20</v>
      </c>
      <c r="M263">
        <f t="shared" si="38"/>
        <v>462</v>
      </c>
      <c r="N263">
        <f t="shared" si="39"/>
        <v>38</v>
      </c>
    </row>
    <row r="264" spans="1:14">
      <c r="A264" t="s">
        <v>270</v>
      </c>
      <c r="B264" t="s">
        <v>7</v>
      </c>
      <c r="C264">
        <v>18</v>
      </c>
      <c r="D264">
        <v>68.599999999999994</v>
      </c>
      <c r="E264">
        <v>64</v>
      </c>
      <c r="F264">
        <v>73</v>
      </c>
      <c r="G264" t="str">
        <f t="shared" si="32"/>
        <v>PASS</v>
      </c>
      <c r="H264" t="str">
        <f t="shared" si="33"/>
        <v>C</v>
      </c>
      <c r="I264" t="str">
        <f t="shared" si="34"/>
        <v>Good</v>
      </c>
      <c r="J264">
        <f t="shared" si="35"/>
        <v>95</v>
      </c>
      <c r="K264">
        <f t="shared" si="36"/>
        <v>55.98</v>
      </c>
      <c r="L264">
        <f t="shared" si="37"/>
        <v>20</v>
      </c>
      <c r="M264">
        <f t="shared" si="38"/>
        <v>462</v>
      </c>
      <c r="N264">
        <f t="shared" si="39"/>
        <v>38</v>
      </c>
    </row>
    <row r="265" spans="1:14">
      <c r="A265" t="s">
        <v>271</v>
      </c>
      <c r="B265" t="s">
        <v>7</v>
      </c>
      <c r="C265">
        <v>15</v>
      </c>
      <c r="D265">
        <v>90.2</v>
      </c>
      <c r="E265">
        <v>56</v>
      </c>
      <c r="F265">
        <v>45</v>
      </c>
      <c r="G265" t="str">
        <f t="shared" si="32"/>
        <v>PASS</v>
      </c>
      <c r="H265" t="str">
        <f t="shared" si="33"/>
        <v>E</v>
      </c>
      <c r="I265" t="str">
        <f t="shared" si="34"/>
        <v>Average</v>
      </c>
      <c r="J265">
        <f t="shared" si="35"/>
        <v>95</v>
      </c>
      <c r="K265">
        <f t="shared" si="36"/>
        <v>55.98</v>
      </c>
      <c r="L265">
        <f t="shared" si="37"/>
        <v>20</v>
      </c>
      <c r="M265">
        <f t="shared" si="38"/>
        <v>462</v>
      </c>
      <c r="N265">
        <f t="shared" si="39"/>
        <v>38</v>
      </c>
    </row>
    <row r="266" spans="1:14">
      <c r="A266" t="s">
        <v>272</v>
      </c>
      <c r="B266" t="s">
        <v>9</v>
      </c>
      <c r="C266">
        <v>15</v>
      </c>
      <c r="D266">
        <v>96.9</v>
      </c>
      <c r="E266">
        <v>56</v>
      </c>
      <c r="F266">
        <v>49</v>
      </c>
      <c r="G266" t="str">
        <f t="shared" si="32"/>
        <v>PASS</v>
      </c>
      <c r="H266" t="str">
        <f t="shared" si="33"/>
        <v>E</v>
      </c>
      <c r="I266" t="str">
        <f t="shared" si="34"/>
        <v>Average</v>
      </c>
      <c r="J266">
        <f t="shared" si="35"/>
        <v>95</v>
      </c>
      <c r="K266">
        <f t="shared" si="36"/>
        <v>55.98</v>
      </c>
      <c r="L266">
        <f t="shared" si="37"/>
        <v>20</v>
      </c>
      <c r="M266">
        <f t="shared" si="38"/>
        <v>462</v>
      </c>
      <c r="N266">
        <f t="shared" si="39"/>
        <v>38</v>
      </c>
    </row>
    <row r="267" spans="1:14">
      <c r="A267" t="s">
        <v>273</v>
      </c>
      <c r="B267" t="s">
        <v>7</v>
      </c>
      <c r="C267">
        <v>19</v>
      </c>
      <c r="D267">
        <v>88.8</v>
      </c>
      <c r="E267">
        <v>69</v>
      </c>
      <c r="F267">
        <v>51</v>
      </c>
      <c r="G267" t="str">
        <f t="shared" si="32"/>
        <v>PASS</v>
      </c>
      <c r="H267" t="str">
        <f t="shared" si="33"/>
        <v>D</v>
      </c>
      <c r="I267" t="str">
        <f t="shared" si="34"/>
        <v>Average</v>
      </c>
      <c r="J267">
        <f t="shared" si="35"/>
        <v>95</v>
      </c>
      <c r="K267">
        <f t="shared" si="36"/>
        <v>55.98</v>
      </c>
      <c r="L267">
        <f t="shared" si="37"/>
        <v>20</v>
      </c>
      <c r="M267">
        <f t="shared" si="38"/>
        <v>462</v>
      </c>
      <c r="N267">
        <f t="shared" si="39"/>
        <v>38</v>
      </c>
    </row>
    <row r="268" spans="1:14">
      <c r="A268" t="s">
        <v>274</v>
      </c>
      <c r="B268" t="s">
        <v>9</v>
      </c>
      <c r="C268">
        <v>19</v>
      </c>
      <c r="D268">
        <v>74.900000000000006</v>
      </c>
      <c r="E268">
        <v>56</v>
      </c>
      <c r="F268">
        <v>74</v>
      </c>
      <c r="G268" t="str">
        <f t="shared" si="32"/>
        <v>PASS</v>
      </c>
      <c r="H268" t="str">
        <f t="shared" si="33"/>
        <v>C</v>
      </c>
      <c r="I268" t="str">
        <f t="shared" si="34"/>
        <v>Good</v>
      </c>
      <c r="J268">
        <f t="shared" si="35"/>
        <v>95</v>
      </c>
      <c r="K268">
        <f t="shared" si="36"/>
        <v>55.98</v>
      </c>
      <c r="L268">
        <f t="shared" si="37"/>
        <v>20</v>
      </c>
      <c r="M268">
        <f t="shared" si="38"/>
        <v>462</v>
      </c>
      <c r="N268">
        <f t="shared" si="39"/>
        <v>38</v>
      </c>
    </row>
    <row r="269" spans="1:14">
      <c r="A269" t="s">
        <v>275</v>
      </c>
      <c r="B269" t="s">
        <v>9</v>
      </c>
      <c r="C269">
        <v>18</v>
      </c>
      <c r="D269">
        <v>78.099999999999994</v>
      </c>
      <c r="E269">
        <v>63</v>
      </c>
      <c r="F269">
        <v>42</v>
      </c>
      <c r="G269" t="str">
        <f t="shared" si="32"/>
        <v>PASS</v>
      </c>
      <c r="H269" t="str">
        <f t="shared" si="33"/>
        <v>E</v>
      </c>
      <c r="I269" t="str">
        <f t="shared" si="34"/>
        <v>Average</v>
      </c>
      <c r="J269">
        <f t="shared" si="35"/>
        <v>95</v>
      </c>
      <c r="K269">
        <f t="shared" si="36"/>
        <v>55.98</v>
      </c>
      <c r="L269">
        <f t="shared" si="37"/>
        <v>20</v>
      </c>
      <c r="M269">
        <f t="shared" si="38"/>
        <v>462</v>
      </c>
      <c r="N269">
        <f t="shared" si="39"/>
        <v>38</v>
      </c>
    </row>
    <row r="270" spans="1:14">
      <c r="A270" t="s">
        <v>276</v>
      </c>
      <c r="B270" t="s">
        <v>9</v>
      </c>
      <c r="C270">
        <v>17</v>
      </c>
      <c r="D270">
        <v>59.8</v>
      </c>
      <c r="E270">
        <v>93</v>
      </c>
      <c r="F270">
        <v>47</v>
      </c>
      <c r="G270" t="str">
        <f t="shared" si="32"/>
        <v>PASS</v>
      </c>
      <c r="H270" t="str">
        <f t="shared" si="33"/>
        <v>E</v>
      </c>
      <c r="I270" t="str">
        <f t="shared" si="34"/>
        <v>Average</v>
      </c>
      <c r="J270">
        <f t="shared" si="35"/>
        <v>95</v>
      </c>
      <c r="K270">
        <f t="shared" si="36"/>
        <v>55.98</v>
      </c>
      <c r="L270">
        <f t="shared" si="37"/>
        <v>20</v>
      </c>
      <c r="M270">
        <f t="shared" si="38"/>
        <v>462</v>
      </c>
      <c r="N270">
        <f t="shared" si="39"/>
        <v>38</v>
      </c>
    </row>
    <row r="271" spans="1:14">
      <c r="A271" t="s">
        <v>277</v>
      </c>
      <c r="B271" t="s">
        <v>9</v>
      </c>
      <c r="C271">
        <v>17</v>
      </c>
      <c r="D271">
        <v>91.1</v>
      </c>
      <c r="E271">
        <v>75</v>
      </c>
      <c r="F271">
        <v>71</v>
      </c>
      <c r="G271" t="str">
        <f t="shared" si="32"/>
        <v>PASS</v>
      </c>
      <c r="H271" t="str">
        <f t="shared" si="33"/>
        <v>C</v>
      </c>
      <c r="I271" t="str">
        <f t="shared" si="34"/>
        <v>Good</v>
      </c>
      <c r="J271">
        <f t="shared" si="35"/>
        <v>95</v>
      </c>
      <c r="K271">
        <f t="shared" si="36"/>
        <v>55.98</v>
      </c>
      <c r="L271">
        <f t="shared" si="37"/>
        <v>20</v>
      </c>
      <c r="M271">
        <f t="shared" si="38"/>
        <v>462</v>
      </c>
      <c r="N271">
        <f t="shared" si="39"/>
        <v>38</v>
      </c>
    </row>
    <row r="272" spans="1:14">
      <c r="A272" t="s">
        <v>278</v>
      </c>
      <c r="B272" t="s">
        <v>7</v>
      </c>
      <c r="C272">
        <v>19</v>
      </c>
      <c r="D272">
        <v>59.2</v>
      </c>
      <c r="E272">
        <v>39</v>
      </c>
      <c r="F272">
        <v>57</v>
      </c>
      <c r="G272" t="str">
        <f t="shared" si="32"/>
        <v>PASS</v>
      </c>
      <c r="H272" t="str">
        <f t="shared" si="33"/>
        <v>D</v>
      </c>
      <c r="I272" t="str">
        <f t="shared" si="34"/>
        <v>Average</v>
      </c>
      <c r="J272">
        <f t="shared" si="35"/>
        <v>95</v>
      </c>
      <c r="K272">
        <f t="shared" si="36"/>
        <v>55.98</v>
      </c>
      <c r="L272">
        <f t="shared" si="37"/>
        <v>20</v>
      </c>
      <c r="M272">
        <f t="shared" si="38"/>
        <v>462</v>
      </c>
      <c r="N272">
        <f t="shared" si="39"/>
        <v>38</v>
      </c>
    </row>
    <row r="273" spans="1:14">
      <c r="A273" t="s">
        <v>279</v>
      </c>
      <c r="B273" t="s">
        <v>7</v>
      </c>
      <c r="C273">
        <v>15</v>
      </c>
      <c r="D273">
        <v>56.9</v>
      </c>
      <c r="E273">
        <v>31</v>
      </c>
      <c r="F273">
        <v>36</v>
      </c>
      <c r="G273" t="str">
        <f t="shared" si="32"/>
        <v>PASS</v>
      </c>
      <c r="H273" t="str">
        <f t="shared" si="33"/>
        <v>E</v>
      </c>
      <c r="I273" t="str">
        <f t="shared" si="34"/>
        <v>Poor</v>
      </c>
      <c r="J273">
        <f t="shared" si="35"/>
        <v>95</v>
      </c>
      <c r="K273">
        <f t="shared" si="36"/>
        <v>55.98</v>
      </c>
      <c r="L273">
        <f t="shared" si="37"/>
        <v>20</v>
      </c>
      <c r="M273">
        <f t="shared" si="38"/>
        <v>462</v>
      </c>
      <c r="N273">
        <f t="shared" si="39"/>
        <v>38</v>
      </c>
    </row>
    <row r="274" spans="1:14">
      <c r="A274" t="s">
        <v>280</v>
      </c>
      <c r="B274" t="s">
        <v>9</v>
      </c>
      <c r="C274">
        <v>17</v>
      </c>
      <c r="D274">
        <v>80.900000000000006</v>
      </c>
      <c r="E274">
        <v>32</v>
      </c>
      <c r="F274">
        <v>20</v>
      </c>
      <c r="G274" t="str">
        <f t="shared" si="32"/>
        <v>FAIL</v>
      </c>
      <c r="H274" t="str">
        <f t="shared" si="33"/>
        <v>E</v>
      </c>
      <c r="I274" t="str">
        <f t="shared" si="34"/>
        <v>Poor</v>
      </c>
      <c r="J274">
        <f t="shared" si="35"/>
        <v>95</v>
      </c>
      <c r="K274">
        <f t="shared" si="36"/>
        <v>55.98</v>
      </c>
      <c r="L274">
        <f t="shared" si="37"/>
        <v>20</v>
      </c>
      <c r="M274">
        <f t="shared" si="38"/>
        <v>462</v>
      </c>
      <c r="N274">
        <f t="shared" si="39"/>
        <v>38</v>
      </c>
    </row>
    <row r="275" spans="1:14">
      <c r="A275" t="s">
        <v>281</v>
      </c>
      <c r="B275" t="s">
        <v>9</v>
      </c>
      <c r="C275">
        <v>15</v>
      </c>
      <c r="D275">
        <v>76.5</v>
      </c>
      <c r="E275">
        <v>94</v>
      </c>
      <c r="F275">
        <v>51</v>
      </c>
      <c r="G275" t="str">
        <f t="shared" si="32"/>
        <v>PASS</v>
      </c>
      <c r="H275" t="str">
        <f t="shared" si="33"/>
        <v>D</v>
      </c>
      <c r="I275" t="str">
        <f t="shared" si="34"/>
        <v>Average</v>
      </c>
      <c r="J275">
        <f t="shared" si="35"/>
        <v>95</v>
      </c>
      <c r="K275">
        <f t="shared" si="36"/>
        <v>55.98</v>
      </c>
      <c r="L275">
        <f t="shared" si="37"/>
        <v>20</v>
      </c>
      <c r="M275">
        <f t="shared" si="38"/>
        <v>462</v>
      </c>
      <c r="N275">
        <f t="shared" si="39"/>
        <v>38</v>
      </c>
    </row>
    <row r="276" spans="1:14">
      <c r="A276" t="s">
        <v>282</v>
      </c>
      <c r="B276" t="s">
        <v>9</v>
      </c>
      <c r="C276">
        <v>16</v>
      </c>
      <c r="D276">
        <v>95.9</v>
      </c>
      <c r="E276">
        <v>54</v>
      </c>
      <c r="F276">
        <v>51</v>
      </c>
      <c r="G276" t="str">
        <f t="shared" si="32"/>
        <v>PASS</v>
      </c>
      <c r="H276" t="str">
        <f t="shared" si="33"/>
        <v>D</v>
      </c>
      <c r="I276" t="str">
        <f t="shared" si="34"/>
        <v>Average</v>
      </c>
      <c r="J276">
        <f t="shared" si="35"/>
        <v>95</v>
      </c>
      <c r="K276">
        <f t="shared" si="36"/>
        <v>55.98</v>
      </c>
      <c r="L276">
        <f t="shared" si="37"/>
        <v>20</v>
      </c>
      <c r="M276">
        <f t="shared" si="38"/>
        <v>462</v>
      </c>
      <c r="N276">
        <f t="shared" si="39"/>
        <v>38</v>
      </c>
    </row>
    <row r="277" spans="1:14">
      <c r="A277" t="s">
        <v>283</v>
      </c>
      <c r="B277" t="s">
        <v>9</v>
      </c>
      <c r="C277">
        <v>17</v>
      </c>
      <c r="D277">
        <v>89.7</v>
      </c>
      <c r="E277">
        <v>88</v>
      </c>
      <c r="F277">
        <v>62</v>
      </c>
      <c r="G277" t="str">
        <f t="shared" si="32"/>
        <v>PASS</v>
      </c>
      <c r="H277" t="str">
        <f t="shared" si="33"/>
        <v>C</v>
      </c>
      <c r="I277" t="str">
        <f t="shared" si="34"/>
        <v>Good</v>
      </c>
      <c r="J277">
        <f t="shared" si="35"/>
        <v>95</v>
      </c>
      <c r="K277">
        <f t="shared" si="36"/>
        <v>55.98</v>
      </c>
      <c r="L277">
        <f t="shared" si="37"/>
        <v>20</v>
      </c>
      <c r="M277">
        <f t="shared" si="38"/>
        <v>462</v>
      </c>
      <c r="N277">
        <f t="shared" si="39"/>
        <v>38</v>
      </c>
    </row>
    <row r="278" spans="1:14">
      <c r="A278" t="s">
        <v>284</v>
      </c>
      <c r="B278" t="s">
        <v>7</v>
      </c>
      <c r="C278">
        <v>16</v>
      </c>
      <c r="D278">
        <v>84.2</v>
      </c>
      <c r="E278">
        <v>81</v>
      </c>
      <c r="F278">
        <v>54</v>
      </c>
      <c r="G278" t="str">
        <f t="shared" si="32"/>
        <v>PASS</v>
      </c>
      <c r="H278" t="str">
        <f t="shared" si="33"/>
        <v>D</v>
      </c>
      <c r="I278" t="str">
        <f t="shared" si="34"/>
        <v>Average</v>
      </c>
      <c r="J278">
        <f t="shared" si="35"/>
        <v>95</v>
      </c>
      <c r="K278">
        <f t="shared" si="36"/>
        <v>55.98</v>
      </c>
      <c r="L278">
        <f t="shared" si="37"/>
        <v>20</v>
      </c>
      <c r="M278">
        <f t="shared" si="38"/>
        <v>462</v>
      </c>
      <c r="N278">
        <f t="shared" si="39"/>
        <v>38</v>
      </c>
    </row>
    <row r="279" spans="1:14">
      <c r="A279" t="s">
        <v>285</v>
      </c>
      <c r="B279" t="s">
        <v>9</v>
      </c>
      <c r="C279">
        <v>19</v>
      </c>
      <c r="D279">
        <v>52.8</v>
      </c>
      <c r="E279">
        <v>93</v>
      </c>
      <c r="F279">
        <v>57</v>
      </c>
      <c r="G279" t="str">
        <f t="shared" si="32"/>
        <v>PASS</v>
      </c>
      <c r="H279" t="str">
        <f t="shared" si="33"/>
        <v>D</v>
      </c>
      <c r="I279" t="str">
        <f t="shared" si="34"/>
        <v>Average</v>
      </c>
      <c r="J279">
        <f t="shared" si="35"/>
        <v>95</v>
      </c>
      <c r="K279">
        <f t="shared" si="36"/>
        <v>55.98</v>
      </c>
      <c r="L279">
        <f t="shared" si="37"/>
        <v>20</v>
      </c>
      <c r="M279">
        <f t="shared" si="38"/>
        <v>462</v>
      </c>
      <c r="N279">
        <f t="shared" si="39"/>
        <v>38</v>
      </c>
    </row>
    <row r="280" spans="1:14">
      <c r="A280" t="s">
        <v>286</v>
      </c>
      <c r="B280" t="s">
        <v>9</v>
      </c>
      <c r="C280">
        <v>19</v>
      </c>
      <c r="D280">
        <v>98.7</v>
      </c>
      <c r="E280">
        <v>57</v>
      </c>
      <c r="F280">
        <v>91</v>
      </c>
      <c r="G280" t="str">
        <f t="shared" si="32"/>
        <v>PASS</v>
      </c>
      <c r="H280" t="str">
        <f t="shared" si="33"/>
        <v>A</v>
      </c>
      <c r="I280" t="str">
        <f t="shared" si="34"/>
        <v>Excellent</v>
      </c>
      <c r="J280">
        <f t="shared" si="35"/>
        <v>95</v>
      </c>
      <c r="K280">
        <f t="shared" si="36"/>
        <v>55.98</v>
      </c>
      <c r="L280">
        <f t="shared" si="37"/>
        <v>20</v>
      </c>
      <c r="M280">
        <f t="shared" si="38"/>
        <v>462</v>
      </c>
      <c r="N280">
        <f t="shared" si="39"/>
        <v>38</v>
      </c>
    </row>
    <row r="281" spans="1:14">
      <c r="A281" t="s">
        <v>287</v>
      </c>
      <c r="B281" t="s">
        <v>9</v>
      </c>
      <c r="C281">
        <v>17</v>
      </c>
      <c r="D281">
        <v>96.2</v>
      </c>
      <c r="E281">
        <v>70</v>
      </c>
      <c r="F281">
        <v>32</v>
      </c>
      <c r="G281" t="str">
        <f t="shared" si="32"/>
        <v>FAIL</v>
      </c>
      <c r="H281" t="str">
        <f t="shared" si="33"/>
        <v>E</v>
      </c>
      <c r="I281" t="str">
        <f t="shared" si="34"/>
        <v>Poor</v>
      </c>
      <c r="J281">
        <f t="shared" si="35"/>
        <v>95</v>
      </c>
      <c r="K281">
        <f t="shared" si="36"/>
        <v>55.98</v>
      </c>
      <c r="L281">
        <f t="shared" si="37"/>
        <v>20</v>
      </c>
      <c r="M281">
        <f t="shared" si="38"/>
        <v>462</v>
      </c>
      <c r="N281">
        <f t="shared" si="39"/>
        <v>38</v>
      </c>
    </row>
    <row r="282" spans="1:14">
      <c r="A282" t="s">
        <v>288</v>
      </c>
      <c r="B282" t="s">
        <v>7</v>
      </c>
      <c r="C282">
        <v>19</v>
      </c>
      <c r="D282">
        <v>87.6</v>
      </c>
      <c r="E282">
        <v>50</v>
      </c>
      <c r="F282">
        <v>48</v>
      </c>
      <c r="G282" t="str">
        <f t="shared" si="32"/>
        <v>PASS</v>
      </c>
      <c r="H282" t="str">
        <f t="shared" si="33"/>
        <v>E</v>
      </c>
      <c r="I282" t="str">
        <f t="shared" si="34"/>
        <v>Average</v>
      </c>
      <c r="J282">
        <f t="shared" si="35"/>
        <v>95</v>
      </c>
      <c r="K282">
        <f t="shared" si="36"/>
        <v>55.98</v>
      </c>
      <c r="L282">
        <f t="shared" si="37"/>
        <v>20</v>
      </c>
      <c r="M282">
        <f t="shared" si="38"/>
        <v>462</v>
      </c>
      <c r="N282">
        <f t="shared" si="39"/>
        <v>38</v>
      </c>
    </row>
    <row r="283" spans="1:14">
      <c r="A283" t="s">
        <v>289</v>
      </c>
      <c r="B283" t="s">
        <v>7</v>
      </c>
      <c r="C283">
        <v>19</v>
      </c>
      <c r="D283">
        <v>92.5</v>
      </c>
      <c r="E283">
        <v>47</v>
      </c>
      <c r="F283">
        <v>89</v>
      </c>
      <c r="G283" t="str">
        <f t="shared" si="32"/>
        <v>PASS</v>
      </c>
      <c r="H283" t="str">
        <f t="shared" si="33"/>
        <v>B</v>
      </c>
      <c r="I283" t="str">
        <f t="shared" si="34"/>
        <v>Excellent</v>
      </c>
      <c r="J283">
        <f t="shared" si="35"/>
        <v>95</v>
      </c>
      <c r="K283">
        <f t="shared" si="36"/>
        <v>55.98</v>
      </c>
      <c r="L283">
        <f t="shared" si="37"/>
        <v>20</v>
      </c>
      <c r="M283">
        <f t="shared" si="38"/>
        <v>462</v>
      </c>
      <c r="N283">
        <f t="shared" si="39"/>
        <v>38</v>
      </c>
    </row>
    <row r="284" spans="1:14">
      <c r="A284" t="s">
        <v>290</v>
      </c>
      <c r="B284" t="s">
        <v>7</v>
      </c>
      <c r="C284">
        <v>19</v>
      </c>
      <c r="D284">
        <v>98.7</v>
      </c>
      <c r="E284">
        <v>59</v>
      </c>
      <c r="F284">
        <v>65</v>
      </c>
      <c r="G284" t="str">
        <f t="shared" si="32"/>
        <v>PASS</v>
      </c>
      <c r="H284" t="str">
        <f t="shared" si="33"/>
        <v>C</v>
      </c>
      <c r="I284" t="str">
        <f t="shared" si="34"/>
        <v>Good</v>
      </c>
      <c r="J284">
        <f t="shared" si="35"/>
        <v>95</v>
      </c>
      <c r="K284">
        <f t="shared" si="36"/>
        <v>55.98</v>
      </c>
      <c r="L284">
        <f t="shared" si="37"/>
        <v>20</v>
      </c>
      <c r="M284">
        <f t="shared" si="38"/>
        <v>462</v>
      </c>
      <c r="N284">
        <f t="shared" si="39"/>
        <v>38</v>
      </c>
    </row>
    <row r="285" spans="1:14">
      <c r="A285" t="s">
        <v>291</v>
      </c>
      <c r="B285" t="s">
        <v>9</v>
      </c>
      <c r="C285">
        <v>19</v>
      </c>
      <c r="D285">
        <v>80.7</v>
      </c>
      <c r="E285">
        <v>33</v>
      </c>
      <c r="F285">
        <v>74</v>
      </c>
      <c r="G285" t="str">
        <f t="shared" si="32"/>
        <v>PASS</v>
      </c>
      <c r="H285" t="str">
        <f t="shared" si="33"/>
        <v>C</v>
      </c>
      <c r="I285" t="str">
        <f t="shared" si="34"/>
        <v>Good</v>
      </c>
      <c r="J285">
        <f t="shared" si="35"/>
        <v>95</v>
      </c>
      <c r="K285">
        <f t="shared" si="36"/>
        <v>55.98</v>
      </c>
      <c r="L285">
        <f t="shared" si="37"/>
        <v>20</v>
      </c>
      <c r="M285">
        <f t="shared" si="38"/>
        <v>462</v>
      </c>
      <c r="N285">
        <f t="shared" si="39"/>
        <v>38</v>
      </c>
    </row>
    <row r="286" spans="1:14">
      <c r="A286" t="s">
        <v>292</v>
      </c>
      <c r="B286" t="s">
        <v>9</v>
      </c>
      <c r="C286">
        <v>18</v>
      </c>
      <c r="D286">
        <v>61.4</v>
      </c>
      <c r="E286">
        <v>53</v>
      </c>
      <c r="F286">
        <v>60</v>
      </c>
      <c r="G286" t="str">
        <f t="shared" si="32"/>
        <v>PASS</v>
      </c>
      <c r="H286" t="str">
        <f t="shared" si="33"/>
        <v>C</v>
      </c>
      <c r="I286" t="str">
        <f t="shared" si="34"/>
        <v>Good</v>
      </c>
      <c r="J286">
        <f t="shared" si="35"/>
        <v>95</v>
      </c>
      <c r="K286">
        <f t="shared" si="36"/>
        <v>55.98</v>
      </c>
      <c r="L286">
        <f t="shared" si="37"/>
        <v>20</v>
      </c>
      <c r="M286">
        <f t="shared" si="38"/>
        <v>462</v>
      </c>
      <c r="N286">
        <f t="shared" si="39"/>
        <v>38</v>
      </c>
    </row>
    <row r="287" spans="1:14">
      <c r="A287" t="s">
        <v>293</v>
      </c>
      <c r="B287" t="s">
        <v>9</v>
      </c>
      <c r="C287">
        <v>15</v>
      </c>
      <c r="D287">
        <v>80.900000000000006</v>
      </c>
      <c r="E287">
        <v>64</v>
      </c>
      <c r="F287">
        <v>65</v>
      </c>
      <c r="G287" t="str">
        <f t="shared" si="32"/>
        <v>PASS</v>
      </c>
      <c r="H287" t="str">
        <f t="shared" si="33"/>
        <v>C</v>
      </c>
      <c r="I287" t="str">
        <f t="shared" si="34"/>
        <v>Good</v>
      </c>
      <c r="J287">
        <f t="shared" si="35"/>
        <v>95</v>
      </c>
      <c r="K287">
        <f t="shared" si="36"/>
        <v>55.98</v>
      </c>
      <c r="L287">
        <f t="shared" si="37"/>
        <v>20</v>
      </c>
      <c r="M287">
        <f t="shared" si="38"/>
        <v>462</v>
      </c>
      <c r="N287">
        <f t="shared" si="39"/>
        <v>38</v>
      </c>
    </row>
    <row r="288" spans="1:14">
      <c r="A288" t="s">
        <v>294</v>
      </c>
      <c r="B288" t="s">
        <v>9</v>
      </c>
      <c r="C288">
        <v>16</v>
      </c>
      <c r="D288">
        <v>69.5</v>
      </c>
      <c r="E288">
        <v>30</v>
      </c>
      <c r="F288">
        <v>58</v>
      </c>
      <c r="G288" t="str">
        <f t="shared" si="32"/>
        <v>PASS</v>
      </c>
      <c r="H288" t="str">
        <f t="shared" si="33"/>
        <v>D</v>
      </c>
      <c r="I288" t="str">
        <f t="shared" si="34"/>
        <v>Average</v>
      </c>
      <c r="J288">
        <f t="shared" si="35"/>
        <v>95</v>
      </c>
      <c r="K288">
        <f t="shared" si="36"/>
        <v>55.98</v>
      </c>
      <c r="L288">
        <f t="shared" si="37"/>
        <v>20</v>
      </c>
      <c r="M288">
        <f t="shared" si="38"/>
        <v>462</v>
      </c>
      <c r="N288">
        <f t="shared" si="39"/>
        <v>38</v>
      </c>
    </row>
    <row r="289" spans="1:14">
      <c r="A289" t="s">
        <v>295</v>
      </c>
      <c r="B289" t="s">
        <v>9</v>
      </c>
      <c r="C289">
        <v>17</v>
      </c>
      <c r="D289">
        <v>63.5</v>
      </c>
      <c r="E289">
        <v>85</v>
      </c>
      <c r="F289">
        <v>74</v>
      </c>
      <c r="G289" t="str">
        <f t="shared" si="32"/>
        <v>PASS</v>
      </c>
      <c r="H289" t="str">
        <f t="shared" si="33"/>
        <v>C</v>
      </c>
      <c r="I289" t="str">
        <f t="shared" si="34"/>
        <v>Good</v>
      </c>
      <c r="J289">
        <f t="shared" si="35"/>
        <v>95</v>
      </c>
      <c r="K289">
        <f t="shared" si="36"/>
        <v>55.98</v>
      </c>
      <c r="L289">
        <f t="shared" si="37"/>
        <v>20</v>
      </c>
      <c r="M289">
        <f t="shared" si="38"/>
        <v>462</v>
      </c>
      <c r="N289">
        <f t="shared" si="39"/>
        <v>38</v>
      </c>
    </row>
    <row r="290" spans="1:14">
      <c r="A290" t="s">
        <v>296</v>
      </c>
      <c r="B290" t="s">
        <v>9</v>
      </c>
      <c r="C290">
        <v>15</v>
      </c>
      <c r="D290">
        <v>54.5</v>
      </c>
      <c r="E290">
        <v>79</v>
      </c>
      <c r="F290">
        <v>20</v>
      </c>
      <c r="G290" t="str">
        <f t="shared" si="32"/>
        <v>FAIL</v>
      </c>
      <c r="H290" t="str">
        <f t="shared" si="33"/>
        <v>E</v>
      </c>
      <c r="I290" t="str">
        <f t="shared" si="34"/>
        <v>Poor</v>
      </c>
      <c r="J290">
        <f t="shared" si="35"/>
        <v>95</v>
      </c>
      <c r="K290">
        <f t="shared" si="36"/>
        <v>55.98</v>
      </c>
      <c r="L290">
        <f t="shared" si="37"/>
        <v>20</v>
      </c>
      <c r="M290">
        <f t="shared" si="38"/>
        <v>462</v>
      </c>
      <c r="N290">
        <f t="shared" si="39"/>
        <v>38</v>
      </c>
    </row>
    <row r="291" spans="1:14">
      <c r="A291" t="s">
        <v>297</v>
      </c>
      <c r="B291" t="s">
        <v>9</v>
      </c>
      <c r="C291">
        <v>18</v>
      </c>
      <c r="D291">
        <v>89</v>
      </c>
      <c r="E291">
        <v>78</v>
      </c>
      <c r="F291">
        <v>53</v>
      </c>
      <c r="G291" t="str">
        <f t="shared" si="32"/>
        <v>PASS</v>
      </c>
      <c r="H291" t="str">
        <f t="shared" si="33"/>
        <v>D</v>
      </c>
      <c r="I291" t="str">
        <f t="shared" si="34"/>
        <v>Average</v>
      </c>
      <c r="J291">
        <f t="shared" si="35"/>
        <v>95</v>
      </c>
      <c r="K291">
        <f t="shared" si="36"/>
        <v>55.98</v>
      </c>
      <c r="L291">
        <f t="shared" si="37"/>
        <v>20</v>
      </c>
      <c r="M291">
        <f t="shared" si="38"/>
        <v>462</v>
      </c>
      <c r="N291">
        <f t="shared" si="39"/>
        <v>38</v>
      </c>
    </row>
    <row r="292" spans="1:14">
      <c r="A292" t="s">
        <v>298</v>
      </c>
      <c r="B292" t="s">
        <v>7</v>
      </c>
      <c r="C292">
        <v>17</v>
      </c>
      <c r="D292">
        <v>63.4</v>
      </c>
      <c r="E292">
        <v>85</v>
      </c>
      <c r="F292">
        <v>45</v>
      </c>
      <c r="G292" t="str">
        <f t="shared" si="32"/>
        <v>PASS</v>
      </c>
      <c r="H292" t="str">
        <f t="shared" si="33"/>
        <v>E</v>
      </c>
      <c r="I292" t="str">
        <f t="shared" si="34"/>
        <v>Average</v>
      </c>
      <c r="J292">
        <f t="shared" si="35"/>
        <v>95</v>
      </c>
      <c r="K292">
        <f t="shared" si="36"/>
        <v>55.98</v>
      </c>
      <c r="L292">
        <f t="shared" si="37"/>
        <v>20</v>
      </c>
      <c r="M292">
        <f t="shared" si="38"/>
        <v>462</v>
      </c>
      <c r="N292">
        <f t="shared" si="39"/>
        <v>38</v>
      </c>
    </row>
    <row r="293" spans="1:14">
      <c r="A293" t="s">
        <v>299</v>
      </c>
      <c r="B293" t="s">
        <v>9</v>
      </c>
      <c r="C293">
        <v>17</v>
      </c>
      <c r="D293">
        <v>89.1</v>
      </c>
      <c r="E293">
        <v>93</v>
      </c>
      <c r="F293">
        <v>74</v>
      </c>
      <c r="G293" t="str">
        <f t="shared" si="32"/>
        <v>PASS</v>
      </c>
      <c r="H293" t="str">
        <f t="shared" si="33"/>
        <v>C</v>
      </c>
      <c r="I293" t="str">
        <f t="shared" si="34"/>
        <v>Good</v>
      </c>
      <c r="J293">
        <f t="shared" si="35"/>
        <v>95</v>
      </c>
      <c r="K293">
        <f t="shared" si="36"/>
        <v>55.98</v>
      </c>
      <c r="L293">
        <f t="shared" si="37"/>
        <v>20</v>
      </c>
      <c r="M293">
        <f t="shared" si="38"/>
        <v>462</v>
      </c>
      <c r="N293">
        <f t="shared" si="39"/>
        <v>38</v>
      </c>
    </row>
    <row r="294" spans="1:14">
      <c r="A294" t="s">
        <v>300</v>
      </c>
      <c r="B294" t="s">
        <v>7</v>
      </c>
      <c r="C294">
        <v>18</v>
      </c>
      <c r="D294">
        <v>56.8</v>
      </c>
      <c r="E294">
        <v>78</v>
      </c>
      <c r="F294">
        <v>50</v>
      </c>
      <c r="G294" t="str">
        <f t="shared" si="32"/>
        <v>PASS</v>
      </c>
      <c r="H294" t="str">
        <f t="shared" si="33"/>
        <v>D</v>
      </c>
      <c r="I294" t="str">
        <f t="shared" si="34"/>
        <v>Average</v>
      </c>
      <c r="J294">
        <f t="shared" si="35"/>
        <v>95</v>
      </c>
      <c r="K294">
        <f t="shared" si="36"/>
        <v>55.98</v>
      </c>
      <c r="L294">
        <f t="shared" si="37"/>
        <v>20</v>
      </c>
      <c r="M294">
        <f t="shared" si="38"/>
        <v>462</v>
      </c>
      <c r="N294">
        <f t="shared" si="39"/>
        <v>38</v>
      </c>
    </row>
    <row r="295" spans="1:14">
      <c r="A295" t="s">
        <v>301</v>
      </c>
      <c r="B295" t="s">
        <v>9</v>
      </c>
      <c r="C295">
        <v>18</v>
      </c>
      <c r="D295">
        <v>71.5</v>
      </c>
      <c r="E295">
        <v>71</v>
      </c>
      <c r="F295">
        <v>57</v>
      </c>
      <c r="G295" t="str">
        <f t="shared" si="32"/>
        <v>PASS</v>
      </c>
      <c r="H295" t="str">
        <f t="shared" si="33"/>
        <v>D</v>
      </c>
      <c r="I295" t="str">
        <f t="shared" si="34"/>
        <v>Average</v>
      </c>
      <c r="J295">
        <f t="shared" si="35"/>
        <v>95</v>
      </c>
      <c r="K295">
        <f t="shared" si="36"/>
        <v>55.98</v>
      </c>
      <c r="L295">
        <f t="shared" si="37"/>
        <v>20</v>
      </c>
      <c r="M295">
        <f t="shared" si="38"/>
        <v>462</v>
      </c>
      <c r="N295">
        <f t="shared" si="39"/>
        <v>38</v>
      </c>
    </row>
    <row r="296" spans="1:14">
      <c r="A296" t="s">
        <v>302</v>
      </c>
      <c r="B296" t="s">
        <v>7</v>
      </c>
      <c r="C296">
        <v>18</v>
      </c>
      <c r="D296">
        <v>58.9</v>
      </c>
      <c r="E296">
        <v>92</v>
      </c>
      <c r="F296">
        <v>57</v>
      </c>
      <c r="G296" t="str">
        <f t="shared" si="32"/>
        <v>PASS</v>
      </c>
      <c r="H296" t="str">
        <f t="shared" si="33"/>
        <v>D</v>
      </c>
      <c r="I296" t="str">
        <f t="shared" si="34"/>
        <v>Average</v>
      </c>
      <c r="J296">
        <f t="shared" si="35"/>
        <v>95</v>
      </c>
      <c r="K296">
        <f t="shared" si="36"/>
        <v>55.98</v>
      </c>
      <c r="L296">
        <f t="shared" si="37"/>
        <v>20</v>
      </c>
      <c r="M296">
        <f t="shared" si="38"/>
        <v>462</v>
      </c>
      <c r="N296">
        <f t="shared" si="39"/>
        <v>38</v>
      </c>
    </row>
    <row r="297" spans="1:14">
      <c r="A297" t="s">
        <v>303</v>
      </c>
      <c r="B297" t="s">
        <v>7</v>
      </c>
      <c r="C297">
        <v>17</v>
      </c>
      <c r="D297">
        <v>64</v>
      </c>
      <c r="E297">
        <v>55</v>
      </c>
      <c r="F297">
        <v>54</v>
      </c>
      <c r="G297" t="str">
        <f t="shared" si="32"/>
        <v>PASS</v>
      </c>
      <c r="H297" t="str">
        <f t="shared" si="33"/>
        <v>D</v>
      </c>
      <c r="I297" t="str">
        <f t="shared" si="34"/>
        <v>Average</v>
      </c>
      <c r="J297">
        <f t="shared" si="35"/>
        <v>95</v>
      </c>
      <c r="K297">
        <f t="shared" si="36"/>
        <v>55.98</v>
      </c>
      <c r="L297">
        <f t="shared" si="37"/>
        <v>20</v>
      </c>
      <c r="M297">
        <f t="shared" si="38"/>
        <v>462</v>
      </c>
      <c r="N297">
        <f t="shared" si="39"/>
        <v>38</v>
      </c>
    </row>
    <row r="298" spans="1:14">
      <c r="A298" t="s">
        <v>304</v>
      </c>
      <c r="B298" t="s">
        <v>7</v>
      </c>
      <c r="C298">
        <v>19</v>
      </c>
      <c r="D298">
        <v>97.7</v>
      </c>
      <c r="E298">
        <v>67</v>
      </c>
      <c r="F298">
        <v>52</v>
      </c>
      <c r="G298" t="str">
        <f t="shared" si="32"/>
        <v>PASS</v>
      </c>
      <c r="H298" t="str">
        <f t="shared" si="33"/>
        <v>D</v>
      </c>
      <c r="I298" t="str">
        <f t="shared" si="34"/>
        <v>Average</v>
      </c>
      <c r="J298">
        <f t="shared" si="35"/>
        <v>95</v>
      </c>
      <c r="K298">
        <f t="shared" si="36"/>
        <v>55.98</v>
      </c>
      <c r="L298">
        <f t="shared" si="37"/>
        <v>20</v>
      </c>
      <c r="M298">
        <f t="shared" si="38"/>
        <v>462</v>
      </c>
      <c r="N298">
        <f t="shared" si="39"/>
        <v>38</v>
      </c>
    </row>
    <row r="299" spans="1:14">
      <c r="A299" t="s">
        <v>305</v>
      </c>
      <c r="B299" t="s">
        <v>7</v>
      </c>
      <c r="C299">
        <v>18</v>
      </c>
      <c r="D299">
        <v>75</v>
      </c>
      <c r="E299">
        <v>49</v>
      </c>
      <c r="F299">
        <v>73</v>
      </c>
      <c r="G299" t="str">
        <f t="shared" si="32"/>
        <v>PASS</v>
      </c>
      <c r="H299" t="str">
        <f t="shared" si="33"/>
        <v>C</v>
      </c>
      <c r="I299" t="str">
        <f t="shared" si="34"/>
        <v>Good</v>
      </c>
      <c r="J299">
        <f t="shared" si="35"/>
        <v>95</v>
      </c>
      <c r="K299">
        <f t="shared" si="36"/>
        <v>55.98</v>
      </c>
      <c r="L299">
        <f t="shared" si="37"/>
        <v>20</v>
      </c>
      <c r="M299">
        <f t="shared" si="38"/>
        <v>462</v>
      </c>
      <c r="N299">
        <f t="shared" si="39"/>
        <v>38</v>
      </c>
    </row>
    <row r="300" spans="1:14">
      <c r="A300" t="s">
        <v>306</v>
      </c>
      <c r="B300" t="s">
        <v>9</v>
      </c>
      <c r="C300">
        <v>18</v>
      </c>
      <c r="D300">
        <v>72.5</v>
      </c>
      <c r="E300">
        <v>94</v>
      </c>
      <c r="F300">
        <v>53</v>
      </c>
      <c r="G300" t="str">
        <f t="shared" si="32"/>
        <v>PASS</v>
      </c>
      <c r="H300" t="str">
        <f t="shared" si="33"/>
        <v>D</v>
      </c>
      <c r="I300" t="str">
        <f t="shared" si="34"/>
        <v>Average</v>
      </c>
      <c r="J300">
        <f t="shared" si="35"/>
        <v>95</v>
      </c>
      <c r="K300">
        <f t="shared" si="36"/>
        <v>55.98</v>
      </c>
      <c r="L300">
        <f t="shared" si="37"/>
        <v>20</v>
      </c>
      <c r="M300">
        <f t="shared" si="38"/>
        <v>462</v>
      </c>
      <c r="N300">
        <f t="shared" si="39"/>
        <v>38</v>
      </c>
    </row>
    <row r="301" spans="1:14">
      <c r="A301" t="s">
        <v>307</v>
      </c>
      <c r="B301" t="s">
        <v>9</v>
      </c>
      <c r="C301">
        <v>19</v>
      </c>
      <c r="D301">
        <v>89.5</v>
      </c>
      <c r="E301">
        <v>61</v>
      </c>
      <c r="F301">
        <v>49</v>
      </c>
      <c r="G301" t="str">
        <f t="shared" si="32"/>
        <v>PASS</v>
      </c>
      <c r="H301" t="str">
        <f t="shared" si="33"/>
        <v>E</v>
      </c>
      <c r="I301" t="str">
        <f t="shared" si="34"/>
        <v>Average</v>
      </c>
      <c r="J301">
        <f t="shared" si="35"/>
        <v>95</v>
      </c>
      <c r="K301">
        <f t="shared" si="36"/>
        <v>55.98</v>
      </c>
      <c r="L301">
        <f t="shared" si="37"/>
        <v>20</v>
      </c>
      <c r="M301">
        <f t="shared" si="38"/>
        <v>462</v>
      </c>
      <c r="N301">
        <f t="shared" si="39"/>
        <v>38</v>
      </c>
    </row>
    <row r="302" spans="1:14">
      <c r="A302" t="s">
        <v>308</v>
      </c>
      <c r="B302" t="s">
        <v>9</v>
      </c>
      <c r="C302">
        <v>16</v>
      </c>
      <c r="D302">
        <v>80.599999999999994</v>
      </c>
      <c r="E302">
        <v>85</v>
      </c>
      <c r="F302">
        <v>62</v>
      </c>
      <c r="G302" t="str">
        <f t="shared" si="32"/>
        <v>PASS</v>
      </c>
      <c r="H302" t="str">
        <f t="shared" si="33"/>
        <v>C</v>
      </c>
      <c r="I302" t="str">
        <f t="shared" si="34"/>
        <v>Good</v>
      </c>
      <c r="J302">
        <f t="shared" si="35"/>
        <v>95</v>
      </c>
      <c r="K302">
        <f t="shared" si="36"/>
        <v>55.98</v>
      </c>
      <c r="L302">
        <f t="shared" si="37"/>
        <v>20</v>
      </c>
      <c r="M302">
        <f t="shared" si="38"/>
        <v>462</v>
      </c>
      <c r="N302">
        <f t="shared" si="39"/>
        <v>38</v>
      </c>
    </row>
    <row r="303" spans="1:14">
      <c r="A303" t="s">
        <v>309</v>
      </c>
      <c r="B303" t="s">
        <v>7</v>
      </c>
      <c r="C303">
        <v>15</v>
      </c>
      <c r="D303">
        <v>61.1</v>
      </c>
      <c r="E303">
        <v>77</v>
      </c>
      <c r="F303">
        <v>45</v>
      </c>
      <c r="G303" t="str">
        <f t="shared" si="32"/>
        <v>PASS</v>
      </c>
      <c r="H303" t="str">
        <f t="shared" si="33"/>
        <v>E</v>
      </c>
      <c r="I303" t="str">
        <f t="shared" si="34"/>
        <v>Average</v>
      </c>
      <c r="J303">
        <f t="shared" si="35"/>
        <v>95</v>
      </c>
      <c r="K303">
        <f t="shared" si="36"/>
        <v>55.98</v>
      </c>
      <c r="L303">
        <f t="shared" si="37"/>
        <v>20</v>
      </c>
      <c r="M303">
        <f t="shared" si="38"/>
        <v>462</v>
      </c>
      <c r="N303">
        <f t="shared" si="39"/>
        <v>38</v>
      </c>
    </row>
    <row r="304" spans="1:14">
      <c r="A304" t="s">
        <v>310</v>
      </c>
      <c r="B304" t="s">
        <v>9</v>
      </c>
      <c r="C304">
        <v>19</v>
      </c>
      <c r="D304">
        <v>75</v>
      </c>
      <c r="E304">
        <v>43</v>
      </c>
      <c r="F304">
        <v>61</v>
      </c>
      <c r="G304" t="str">
        <f t="shared" si="32"/>
        <v>PASS</v>
      </c>
      <c r="H304" t="str">
        <f t="shared" si="33"/>
        <v>C</v>
      </c>
      <c r="I304" t="str">
        <f t="shared" si="34"/>
        <v>Good</v>
      </c>
      <c r="J304">
        <f t="shared" si="35"/>
        <v>95</v>
      </c>
      <c r="K304">
        <f t="shared" si="36"/>
        <v>55.98</v>
      </c>
      <c r="L304">
        <f t="shared" si="37"/>
        <v>20</v>
      </c>
      <c r="M304">
        <f t="shared" si="38"/>
        <v>462</v>
      </c>
      <c r="N304">
        <f t="shared" si="39"/>
        <v>38</v>
      </c>
    </row>
    <row r="305" spans="1:14">
      <c r="A305" t="s">
        <v>311</v>
      </c>
      <c r="B305" t="s">
        <v>9</v>
      </c>
      <c r="C305">
        <v>15</v>
      </c>
      <c r="D305">
        <v>91.6</v>
      </c>
      <c r="E305">
        <v>73</v>
      </c>
      <c r="F305">
        <v>48</v>
      </c>
      <c r="G305" t="str">
        <f t="shared" si="32"/>
        <v>PASS</v>
      </c>
      <c r="H305" t="str">
        <f t="shared" si="33"/>
        <v>E</v>
      </c>
      <c r="I305" t="str">
        <f t="shared" si="34"/>
        <v>Average</v>
      </c>
      <c r="J305">
        <f t="shared" si="35"/>
        <v>95</v>
      </c>
      <c r="K305">
        <f t="shared" si="36"/>
        <v>55.98</v>
      </c>
      <c r="L305">
        <f t="shared" si="37"/>
        <v>20</v>
      </c>
      <c r="M305">
        <f t="shared" si="38"/>
        <v>462</v>
      </c>
      <c r="N305">
        <f t="shared" si="39"/>
        <v>38</v>
      </c>
    </row>
    <row r="306" spans="1:14">
      <c r="A306" t="s">
        <v>312</v>
      </c>
      <c r="B306" t="s">
        <v>7</v>
      </c>
      <c r="C306">
        <v>19</v>
      </c>
      <c r="D306">
        <v>67.400000000000006</v>
      </c>
      <c r="E306">
        <v>70</v>
      </c>
      <c r="F306">
        <v>46</v>
      </c>
      <c r="G306" t="str">
        <f t="shared" si="32"/>
        <v>PASS</v>
      </c>
      <c r="H306" t="str">
        <f t="shared" si="33"/>
        <v>E</v>
      </c>
      <c r="I306" t="str">
        <f t="shared" si="34"/>
        <v>Average</v>
      </c>
      <c r="J306">
        <f t="shared" si="35"/>
        <v>95</v>
      </c>
      <c r="K306">
        <f t="shared" si="36"/>
        <v>55.98</v>
      </c>
      <c r="L306">
        <f t="shared" si="37"/>
        <v>20</v>
      </c>
      <c r="M306">
        <f t="shared" si="38"/>
        <v>462</v>
      </c>
      <c r="N306">
        <f t="shared" si="39"/>
        <v>38</v>
      </c>
    </row>
    <row r="307" spans="1:14">
      <c r="A307" t="s">
        <v>313</v>
      </c>
      <c r="B307" t="s">
        <v>9</v>
      </c>
      <c r="C307">
        <v>15</v>
      </c>
      <c r="D307">
        <v>85.5</v>
      </c>
      <c r="E307">
        <v>51</v>
      </c>
      <c r="F307">
        <v>84</v>
      </c>
      <c r="G307" t="str">
        <f t="shared" si="32"/>
        <v>PASS</v>
      </c>
      <c r="H307" t="str">
        <f t="shared" si="33"/>
        <v>B</v>
      </c>
      <c r="I307" t="str">
        <f t="shared" si="34"/>
        <v>Excellent</v>
      </c>
      <c r="J307">
        <f t="shared" si="35"/>
        <v>95</v>
      </c>
      <c r="K307">
        <f t="shared" si="36"/>
        <v>55.98</v>
      </c>
      <c r="L307">
        <f t="shared" si="37"/>
        <v>20</v>
      </c>
      <c r="M307">
        <f t="shared" si="38"/>
        <v>462</v>
      </c>
      <c r="N307">
        <f t="shared" si="39"/>
        <v>38</v>
      </c>
    </row>
    <row r="308" spans="1:14">
      <c r="A308" t="s">
        <v>314</v>
      </c>
      <c r="B308" t="s">
        <v>7</v>
      </c>
      <c r="C308">
        <v>19</v>
      </c>
      <c r="D308">
        <v>77.599999999999994</v>
      </c>
      <c r="E308">
        <v>59</v>
      </c>
      <c r="F308">
        <v>55</v>
      </c>
      <c r="G308" t="str">
        <f t="shared" si="32"/>
        <v>PASS</v>
      </c>
      <c r="H308" t="str">
        <f t="shared" si="33"/>
        <v>D</v>
      </c>
      <c r="I308" t="str">
        <f t="shared" si="34"/>
        <v>Average</v>
      </c>
      <c r="J308">
        <f t="shared" si="35"/>
        <v>95</v>
      </c>
      <c r="K308">
        <f t="shared" si="36"/>
        <v>55.98</v>
      </c>
      <c r="L308">
        <f t="shared" si="37"/>
        <v>20</v>
      </c>
      <c r="M308">
        <f t="shared" si="38"/>
        <v>462</v>
      </c>
      <c r="N308">
        <f t="shared" si="39"/>
        <v>38</v>
      </c>
    </row>
    <row r="309" spans="1:14">
      <c r="A309" t="s">
        <v>315</v>
      </c>
      <c r="B309" t="s">
        <v>9</v>
      </c>
      <c r="C309">
        <v>16</v>
      </c>
      <c r="D309">
        <v>82</v>
      </c>
      <c r="E309">
        <v>55</v>
      </c>
      <c r="F309">
        <v>45</v>
      </c>
      <c r="G309" t="str">
        <f t="shared" si="32"/>
        <v>PASS</v>
      </c>
      <c r="H309" t="str">
        <f t="shared" si="33"/>
        <v>E</v>
      </c>
      <c r="I309" t="str">
        <f t="shared" si="34"/>
        <v>Average</v>
      </c>
      <c r="J309">
        <f t="shared" si="35"/>
        <v>95</v>
      </c>
      <c r="K309">
        <f t="shared" si="36"/>
        <v>55.98</v>
      </c>
      <c r="L309">
        <f t="shared" si="37"/>
        <v>20</v>
      </c>
      <c r="M309">
        <f t="shared" si="38"/>
        <v>462</v>
      </c>
      <c r="N309">
        <f t="shared" si="39"/>
        <v>38</v>
      </c>
    </row>
    <row r="310" spans="1:14">
      <c r="A310" t="s">
        <v>316</v>
      </c>
      <c r="B310" t="s">
        <v>9</v>
      </c>
      <c r="C310">
        <v>18</v>
      </c>
      <c r="D310">
        <v>85.2</v>
      </c>
      <c r="E310">
        <v>43</v>
      </c>
      <c r="F310">
        <v>47</v>
      </c>
      <c r="G310" t="str">
        <f t="shared" si="32"/>
        <v>PASS</v>
      </c>
      <c r="H310" t="str">
        <f t="shared" si="33"/>
        <v>E</v>
      </c>
      <c r="I310" t="str">
        <f t="shared" si="34"/>
        <v>Average</v>
      </c>
      <c r="J310">
        <f t="shared" si="35"/>
        <v>95</v>
      </c>
      <c r="K310">
        <f t="shared" si="36"/>
        <v>55.98</v>
      </c>
      <c r="L310">
        <f t="shared" si="37"/>
        <v>20</v>
      </c>
      <c r="M310">
        <f t="shared" si="38"/>
        <v>462</v>
      </c>
      <c r="N310">
        <f t="shared" si="39"/>
        <v>38</v>
      </c>
    </row>
    <row r="311" spans="1:14">
      <c r="A311" t="s">
        <v>317</v>
      </c>
      <c r="B311" t="s">
        <v>7</v>
      </c>
      <c r="C311">
        <v>17</v>
      </c>
      <c r="D311">
        <v>59.9</v>
      </c>
      <c r="E311">
        <v>70</v>
      </c>
      <c r="F311">
        <v>53</v>
      </c>
      <c r="G311" t="str">
        <f t="shared" si="32"/>
        <v>PASS</v>
      </c>
      <c r="H311" t="str">
        <f t="shared" si="33"/>
        <v>D</v>
      </c>
      <c r="I311" t="str">
        <f t="shared" si="34"/>
        <v>Average</v>
      </c>
      <c r="J311">
        <f t="shared" si="35"/>
        <v>95</v>
      </c>
      <c r="K311">
        <f t="shared" si="36"/>
        <v>55.98</v>
      </c>
      <c r="L311">
        <f t="shared" si="37"/>
        <v>20</v>
      </c>
      <c r="M311">
        <f t="shared" si="38"/>
        <v>462</v>
      </c>
      <c r="N311">
        <f t="shared" si="39"/>
        <v>38</v>
      </c>
    </row>
    <row r="312" spans="1:14">
      <c r="A312" t="s">
        <v>318</v>
      </c>
      <c r="B312" t="s">
        <v>9</v>
      </c>
      <c r="C312">
        <v>19</v>
      </c>
      <c r="D312">
        <v>79.400000000000006</v>
      </c>
      <c r="E312">
        <v>52</v>
      </c>
      <c r="F312">
        <v>61</v>
      </c>
      <c r="G312" t="str">
        <f t="shared" si="32"/>
        <v>PASS</v>
      </c>
      <c r="H312" t="str">
        <f t="shared" si="33"/>
        <v>C</v>
      </c>
      <c r="I312" t="str">
        <f t="shared" si="34"/>
        <v>Good</v>
      </c>
      <c r="J312">
        <f t="shared" si="35"/>
        <v>95</v>
      </c>
      <c r="K312">
        <f t="shared" si="36"/>
        <v>55.98</v>
      </c>
      <c r="L312">
        <f t="shared" si="37"/>
        <v>20</v>
      </c>
      <c r="M312">
        <f t="shared" si="38"/>
        <v>462</v>
      </c>
      <c r="N312">
        <f t="shared" si="39"/>
        <v>38</v>
      </c>
    </row>
    <row r="313" spans="1:14">
      <c r="A313" t="s">
        <v>319</v>
      </c>
      <c r="B313" t="s">
        <v>9</v>
      </c>
      <c r="C313">
        <v>19</v>
      </c>
      <c r="D313">
        <v>54.2</v>
      </c>
      <c r="E313">
        <v>60</v>
      </c>
      <c r="F313">
        <v>52</v>
      </c>
      <c r="G313" t="str">
        <f t="shared" si="32"/>
        <v>PASS</v>
      </c>
      <c r="H313" t="str">
        <f t="shared" si="33"/>
        <v>D</v>
      </c>
      <c r="I313" t="str">
        <f t="shared" si="34"/>
        <v>Average</v>
      </c>
      <c r="J313">
        <f t="shared" si="35"/>
        <v>95</v>
      </c>
      <c r="K313">
        <f t="shared" si="36"/>
        <v>55.98</v>
      </c>
      <c r="L313">
        <f t="shared" si="37"/>
        <v>20</v>
      </c>
      <c r="M313">
        <f t="shared" si="38"/>
        <v>462</v>
      </c>
      <c r="N313">
        <f t="shared" si="39"/>
        <v>38</v>
      </c>
    </row>
    <row r="314" spans="1:14">
      <c r="A314" t="s">
        <v>320</v>
      </c>
      <c r="B314" t="s">
        <v>7</v>
      </c>
      <c r="C314">
        <v>16</v>
      </c>
      <c r="D314">
        <v>84.7</v>
      </c>
      <c r="E314">
        <v>47</v>
      </c>
      <c r="F314">
        <v>57</v>
      </c>
      <c r="G314" t="str">
        <f t="shared" si="32"/>
        <v>PASS</v>
      </c>
      <c r="H314" t="str">
        <f t="shared" si="33"/>
        <v>D</v>
      </c>
      <c r="I314" t="str">
        <f t="shared" si="34"/>
        <v>Average</v>
      </c>
      <c r="J314">
        <f t="shared" si="35"/>
        <v>95</v>
      </c>
      <c r="K314">
        <f t="shared" si="36"/>
        <v>55.98</v>
      </c>
      <c r="L314">
        <f t="shared" si="37"/>
        <v>20</v>
      </c>
      <c r="M314">
        <f t="shared" si="38"/>
        <v>462</v>
      </c>
      <c r="N314">
        <f t="shared" si="39"/>
        <v>38</v>
      </c>
    </row>
    <row r="315" spans="1:14">
      <c r="A315" t="s">
        <v>321</v>
      </c>
      <c r="B315" t="s">
        <v>9</v>
      </c>
      <c r="C315">
        <v>18</v>
      </c>
      <c r="D315">
        <v>74.3</v>
      </c>
      <c r="E315">
        <v>92</v>
      </c>
      <c r="F315">
        <v>45</v>
      </c>
      <c r="G315" t="str">
        <f t="shared" si="32"/>
        <v>PASS</v>
      </c>
      <c r="H315" t="str">
        <f t="shared" si="33"/>
        <v>E</v>
      </c>
      <c r="I315" t="str">
        <f t="shared" si="34"/>
        <v>Average</v>
      </c>
      <c r="J315">
        <f t="shared" si="35"/>
        <v>95</v>
      </c>
      <c r="K315">
        <f t="shared" si="36"/>
        <v>55.98</v>
      </c>
      <c r="L315">
        <f t="shared" si="37"/>
        <v>20</v>
      </c>
      <c r="M315">
        <f t="shared" si="38"/>
        <v>462</v>
      </c>
      <c r="N315">
        <f t="shared" si="39"/>
        <v>38</v>
      </c>
    </row>
    <row r="316" spans="1:14">
      <c r="A316" t="s">
        <v>322</v>
      </c>
      <c r="B316" t="s">
        <v>7</v>
      </c>
      <c r="C316">
        <v>16</v>
      </c>
      <c r="D316">
        <v>92.1</v>
      </c>
      <c r="E316">
        <v>31</v>
      </c>
      <c r="F316">
        <v>51</v>
      </c>
      <c r="G316" t="str">
        <f t="shared" si="32"/>
        <v>PASS</v>
      </c>
      <c r="H316" t="str">
        <f t="shared" si="33"/>
        <v>D</v>
      </c>
      <c r="I316" t="str">
        <f t="shared" si="34"/>
        <v>Average</v>
      </c>
      <c r="J316">
        <f t="shared" si="35"/>
        <v>95</v>
      </c>
      <c r="K316">
        <f t="shared" si="36"/>
        <v>55.98</v>
      </c>
      <c r="L316">
        <f t="shared" si="37"/>
        <v>20</v>
      </c>
      <c r="M316">
        <f t="shared" si="38"/>
        <v>462</v>
      </c>
      <c r="N316">
        <f t="shared" si="39"/>
        <v>38</v>
      </c>
    </row>
    <row r="317" spans="1:14">
      <c r="A317" t="s">
        <v>323</v>
      </c>
      <c r="B317" t="s">
        <v>7</v>
      </c>
      <c r="C317">
        <v>16</v>
      </c>
      <c r="D317">
        <v>69.2</v>
      </c>
      <c r="E317">
        <v>92</v>
      </c>
      <c r="F317">
        <v>79</v>
      </c>
      <c r="G317" t="str">
        <f t="shared" si="32"/>
        <v>PASS</v>
      </c>
      <c r="H317" t="str">
        <f t="shared" si="33"/>
        <v>C</v>
      </c>
      <c r="I317" t="str">
        <f t="shared" si="34"/>
        <v>Good</v>
      </c>
      <c r="J317">
        <f t="shared" si="35"/>
        <v>95</v>
      </c>
      <c r="K317">
        <f t="shared" si="36"/>
        <v>55.98</v>
      </c>
      <c r="L317">
        <f t="shared" si="37"/>
        <v>20</v>
      </c>
      <c r="M317">
        <f t="shared" si="38"/>
        <v>462</v>
      </c>
      <c r="N317">
        <f t="shared" si="39"/>
        <v>38</v>
      </c>
    </row>
    <row r="318" spans="1:14">
      <c r="A318" t="s">
        <v>324</v>
      </c>
      <c r="B318" t="s">
        <v>9</v>
      </c>
      <c r="C318">
        <v>18</v>
      </c>
      <c r="D318">
        <v>54.1</v>
      </c>
      <c r="E318">
        <v>34</v>
      </c>
      <c r="F318">
        <v>26</v>
      </c>
      <c r="G318" t="str">
        <f t="shared" si="32"/>
        <v>FAIL</v>
      </c>
      <c r="H318" t="str">
        <f t="shared" si="33"/>
        <v>E</v>
      </c>
      <c r="I318" t="str">
        <f t="shared" si="34"/>
        <v>Poor</v>
      </c>
      <c r="J318">
        <f t="shared" si="35"/>
        <v>95</v>
      </c>
      <c r="K318">
        <f t="shared" si="36"/>
        <v>55.98</v>
      </c>
      <c r="L318">
        <f t="shared" si="37"/>
        <v>20</v>
      </c>
      <c r="M318">
        <f t="shared" si="38"/>
        <v>462</v>
      </c>
      <c r="N318">
        <f t="shared" si="39"/>
        <v>38</v>
      </c>
    </row>
    <row r="319" spans="1:14">
      <c r="A319" t="s">
        <v>325</v>
      </c>
      <c r="B319" t="s">
        <v>7</v>
      </c>
      <c r="C319">
        <v>19</v>
      </c>
      <c r="D319">
        <v>58.4</v>
      </c>
      <c r="E319">
        <v>44</v>
      </c>
      <c r="F319">
        <v>35</v>
      </c>
      <c r="G319" t="str">
        <f t="shared" si="32"/>
        <v>PASS</v>
      </c>
      <c r="H319" t="str">
        <f t="shared" si="33"/>
        <v>E</v>
      </c>
      <c r="I319" t="str">
        <f t="shared" si="34"/>
        <v>Poor</v>
      </c>
      <c r="J319">
        <f t="shared" si="35"/>
        <v>95</v>
      </c>
      <c r="K319">
        <f t="shared" si="36"/>
        <v>55.98</v>
      </c>
      <c r="L319">
        <f t="shared" si="37"/>
        <v>20</v>
      </c>
      <c r="M319">
        <f t="shared" si="38"/>
        <v>462</v>
      </c>
      <c r="N319">
        <f t="shared" si="39"/>
        <v>38</v>
      </c>
    </row>
    <row r="320" spans="1:14">
      <c r="A320" t="s">
        <v>326</v>
      </c>
      <c r="B320" t="s">
        <v>9</v>
      </c>
      <c r="C320">
        <v>19</v>
      </c>
      <c r="D320">
        <v>87.8</v>
      </c>
      <c r="E320">
        <v>43</v>
      </c>
      <c r="F320">
        <v>84</v>
      </c>
      <c r="G320" t="str">
        <f t="shared" si="32"/>
        <v>PASS</v>
      </c>
      <c r="H320" t="str">
        <f t="shared" si="33"/>
        <v>B</v>
      </c>
      <c r="I320" t="str">
        <f t="shared" si="34"/>
        <v>Excellent</v>
      </c>
      <c r="J320">
        <f t="shared" si="35"/>
        <v>95</v>
      </c>
      <c r="K320">
        <f t="shared" si="36"/>
        <v>55.98</v>
      </c>
      <c r="L320">
        <f t="shared" si="37"/>
        <v>20</v>
      </c>
      <c r="M320">
        <f t="shared" si="38"/>
        <v>462</v>
      </c>
      <c r="N320">
        <f t="shared" si="39"/>
        <v>38</v>
      </c>
    </row>
    <row r="321" spans="1:14">
      <c r="A321" t="s">
        <v>327</v>
      </c>
      <c r="B321" t="s">
        <v>7</v>
      </c>
      <c r="C321">
        <v>17</v>
      </c>
      <c r="D321">
        <v>100</v>
      </c>
      <c r="E321">
        <v>41</v>
      </c>
      <c r="F321">
        <v>80</v>
      </c>
      <c r="G321" t="str">
        <f t="shared" si="32"/>
        <v>PASS</v>
      </c>
      <c r="H321" t="str">
        <f t="shared" si="33"/>
        <v>B</v>
      </c>
      <c r="I321" t="str">
        <f t="shared" si="34"/>
        <v>Excellent</v>
      </c>
      <c r="J321">
        <f t="shared" si="35"/>
        <v>95</v>
      </c>
      <c r="K321">
        <f t="shared" si="36"/>
        <v>55.98</v>
      </c>
      <c r="L321">
        <f t="shared" si="37"/>
        <v>20</v>
      </c>
      <c r="M321">
        <f t="shared" si="38"/>
        <v>462</v>
      </c>
      <c r="N321">
        <f t="shared" si="39"/>
        <v>38</v>
      </c>
    </row>
    <row r="322" spans="1:14">
      <c r="A322" t="s">
        <v>328</v>
      </c>
      <c r="B322" t="s">
        <v>7</v>
      </c>
      <c r="C322">
        <v>16</v>
      </c>
      <c r="D322">
        <v>90.5</v>
      </c>
      <c r="E322">
        <v>51</v>
      </c>
      <c r="F322">
        <v>53</v>
      </c>
      <c r="G322" t="str">
        <f t="shared" ref="G322:G385" si="40">IF(F322&gt;33,"PASS","FAIL")</f>
        <v>PASS</v>
      </c>
      <c r="H322" t="str">
        <f t="shared" ref="H322:H385" si="41">IF(F322&gt;90,"A",IF(F322&gt;=80,"B",IF(F322&gt;=60,"C",IF(F322&gt;=50,"D","E"))))</f>
        <v>D</v>
      </c>
      <c r="I322" t="str">
        <f t="shared" ref="I322:I385" si="42">IF(F322&gt;=80,"Excellent",IF(F322&gt;=60,"Good",IF(F322&gt;=40,"Average","Poor")))</f>
        <v>Average</v>
      </c>
      <c r="J322">
        <f t="shared" ref="J322:J385" si="43">MAX(F:F)</f>
        <v>95</v>
      </c>
      <c r="K322">
        <f t="shared" ref="K322:K385" si="44">AVERAGE(F:F)</f>
        <v>55.98</v>
      </c>
      <c r="L322">
        <f t="shared" ref="L322:L385" si="45">MIN(F:F)</f>
        <v>20</v>
      </c>
      <c r="M322">
        <f t="shared" ref="M322:M385" si="46">COUNTIF(G:G,"pass")</f>
        <v>462</v>
      </c>
      <c r="N322">
        <f t="shared" ref="N322:N385" si="47">COUNTIF(G:G,"fail")</f>
        <v>38</v>
      </c>
    </row>
    <row r="323" spans="1:14">
      <c r="A323" t="s">
        <v>329</v>
      </c>
      <c r="B323" t="s">
        <v>7</v>
      </c>
      <c r="C323">
        <v>16</v>
      </c>
      <c r="D323">
        <v>60.3</v>
      </c>
      <c r="E323">
        <v>51</v>
      </c>
      <c r="F323">
        <v>65</v>
      </c>
      <c r="G323" t="str">
        <f t="shared" si="40"/>
        <v>PASS</v>
      </c>
      <c r="H323" t="str">
        <f t="shared" si="41"/>
        <v>C</v>
      </c>
      <c r="I323" t="str">
        <f t="shared" si="42"/>
        <v>Good</v>
      </c>
      <c r="J323">
        <f t="shared" si="43"/>
        <v>95</v>
      </c>
      <c r="K323">
        <f t="shared" si="44"/>
        <v>55.98</v>
      </c>
      <c r="L323">
        <f t="shared" si="45"/>
        <v>20</v>
      </c>
      <c r="M323">
        <f t="shared" si="46"/>
        <v>462</v>
      </c>
      <c r="N323">
        <f t="shared" si="47"/>
        <v>38</v>
      </c>
    </row>
    <row r="324" spans="1:14">
      <c r="A324" t="s">
        <v>330</v>
      </c>
      <c r="B324" t="s">
        <v>9</v>
      </c>
      <c r="C324">
        <v>17</v>
      </c>
      <c r="D324">
        <v>63.4</v>
      </c>
      <c r="E324">
        <v>82</v>
      </c>
      <c r="F324">
        <v>51</v>
      </c>
      <c r="G324" t="str">
        <f t="shared" si="40"/>
        <v>PASS</v>
      </c>
      <c r="H324" t="str">
        <f t="shared" si="41"/>
        <v>D</v>
      </c>
      <c r="I324" t="str">
        <f t="shared" si="42"/>
        <v>Average</v>
      </c>
      <c r="J324">
        <f t="shared" si="43"/>
        <v>95</v>
      </c>
      <c r="K324">
        <f t="shared" si="44"/>
        <v>55.98</v>
      </c>
      <c r="L324">
        <f t="shared" si="45"/>
        <v>20</v>
      </c>
      <c r="M324">
        <f t="shared" si="46"/>
        <v>462</v>
      </c>
      <c r="N324">
        <f t="shared" si="47"/>
        <v>38</v>
      </c>
    </row>
    <row r="325" spans="1:14">
      <c r="A325" t="s">
        <v>331</v>
      </c>
      <c r="B325" t="s">
        <v>9</v>
      </c>
      <c r="C325">
        <v>16</v>
      </c>
      <c r="D325">
        <v>93.3</v>
      </c>
      <c r="E325">
        <v>61</v>
      </c>
      <c r="F325">
        <v>85</v>
      </c>
      <c r="G325" t="str">
        <f t="shared" si="40"/>
        <v>PASS</v>
      </c>
      <c r="H325" t="str">
        <f t="shared" si="41"/>
        <v>B</v>
      </c>
      <c r="I325" t="str">
        <f t="shared" si="42"/>
        <v>Excellent</v>
      </c>
      <c r="J325">
        <f t="shared" si="43"/>
        <v>95</v>
      </c>
      <c r="K325">
        <f t="shared" si="44"/>
        <v>55.98</v>
      </c>
      <c r="L325">
        <f t="shared" si="45"/>
        <v>20</v>
      </c>
      <c r="M325">
        <f t="shared" si="46"/>
        <v>462</v>
      </c>
      <c r="N325">
        <f t="shared" si="47"/>
        <v>38</v>
      </c>
    </row>
    <row r="326" spans="1:14">
      <c r="A326" t="s">
        <v>332</v>
      </c>
      <c r="B326" t="s">
        <v>9</v>
      </c>
      <c r="C326">
        <v>18</v>
      </c>
      <c r="D326">
        <v>78.900000000000006</v>
      </c>
      <c r="E326">
        <v>87</v>
      </c>
      <c r="F326">
        <v>37</v>
      </c>
      <c r="G326" t="str">
        <f t="shared" si="40"/>
        <v>PASS</v>
      </c>
      <c r="H326" t="str">
        <f t="shared" si="41"/>
        <v>E</v>
      </c>
      <c r="I326" t="str">
        <f t="shared" si="42"/>
        <v>Poor</v>
      </c>
      <c r="J326">
        <f t="shared" si="43"/>
        <v>95</v>
      </c>
      <c r="K326">
        <f t="shared" si="44"/>
        <v>55.98</v>
      </c>
      <c r="L326">
        <f t="shared" si="45"/>
        <v>20</v>
      </c>
      <c r="M326">
        <f t="shared" si="46"/>
        <v>462</v>
      </c>
      <c r="N326">
        <f t="shared" si="47"/>
        <v>38</v>
      </c>
    </row>
    <row r="327" spans="1:14">
      <c r="A327" t="s">
        <v>333</v>
      </c>
      <c r="B327" t="s">
        <v>7</v>
      </c>
      <c r="C327">
        <v>18</v>
      </c>
      <c r="D327">
        <v>87.5</v>
      </c>
      <c r="E327">
        <v>71</v>
      </c>
      <c r="F327">
        <v>70</v>
      </c>
      <c r="G327" t="str">
        <f t="shared" si="40"/>
        <v>PASS</v>
      </c>
      <c r="H327" t="str">
        <f t="shared" si="41"/>
        <v>C</v>
      </c>
      <c r="I327" t="str">
        <f t="shared" si="42"/>
        <v>Good</v>
      </c>
      <c r="J327">
        <f t="shared" si="43"/>
        <v>95</v>
      </c>
      <c r="K327">
        <f t="shared" si="44"/>
        <v>55.98</v>
      </c>
      <c r="L327">
        <f t="shared" si="45"/>
        <v>20</v>
      </c>
      <c r="M327">
        <f t="shared" si="46"/>
        <v>462</v>
      </c>
      <c r="N327">
        <f t="shared" si="47"/>
        <v>38</v>
      </c>
    </row>
    <row r="328" spans="1:14">
      <c r="A328" t="s">
        <v>334</v>
      </c>
      <c r="B328" t="s">
        <v>7</v>
      </c>
      <c r="C328">
        <v>15</v>
      </c>
      <c r="D328">
        <v>98.6</v>
      </c>
      <c r="E328">
        <v>57</v>
      </c>
      <c r="F328">
        <v>76</v>
      </c>
      <c r="G328" t="str">
        <f t="shared" si="40"/>
        <v>PASS</v>
      </c>
      <c r="H328" t="str">
        <f t="shared" si="41"/>
        <v>C</v>
      </c>
      <c r="I328" t="str">
        <f t="shared" si="42"/>
        <v>Good</v>
      </c>
      <c r="J328">
        <f t="shared" si="43"/>
        <v>95</v>
      </c>
      <c r="K328">
        <f t="shared" si="44"/>
        <v>55.98</v>
      </c>
      <c r="L328">
        <f t="shared" si="45"/>
        <v>20</v>
      </c>
      <c r="M328">
        <f t="shared" si="46"/>
        <v>462</v>
      </c>
      <c r="N328">
        <f t="shared" si="47"/>
        <v>38</v>
      </c>
    </row>
    <row r="329" spans="1:14">
      <c r="A329" t="s">
        <v>335</v>
      </c>
      <c r="B329" t="s">
        <v>7</v>
      </c>
      <c r="C329">
        <v>18</v>
      </c>
      <c r="D329">
        <v>66.099999999999994</v>
      </c>
      <c r="E329">
        <v>92</v>
      </c>
      <c r="F329">
        <v>63</v>
      </c>
      <c r="G329" t="str">
        <f t="shared" si="40"/>
        <v>PASS</v>
      </c>
      <c r="H329" t="str">
        <f t="shared" si="41"/>
        <v>C</v>
      </c>
      <c r="I329" t="str">
        <f t="shared" si="42"/>
        <v>Good</v>
      </c>
      <c r="J329">
        <f t="shared" si="43"/>
        <v>95</v>
      </c>
      <c r="K329">
        <f t="shared" si="44"/>
        <v>55.98</v>
      </c>
      <c r="L329">
        <f t="shared" si="45"/>
        <v>20</v>
      </c>
      <c r="M329">
        <f t="shared" si="46"/>
        <v>462</v>
      </c>
      <c r="N329">
        <f t="shared" si="47"/>
        <v>38</v>
      </c>
    </row>
    <row r="330" spans="1:14">
      <c r="A330" t="s">
        <v>336</v>
      </c>
      <c r="B330" t="s">
        <v>9</v>
      </c>
      <c r="C330">
        <v>15</v>
      </c>
      <c r="D330">
        <v>55</v>
      </c>
      <c r="E330">
        <v>50</v>
      </c>
      <c r="F330">
        <v>30</v>
      </c>
      <c r="G330" t="str">
        <f t="shared" si="40"/>
        <v>FAIL</v>
      </c>
      <c r="H330" t="str">
        <f t="shared" si="41"/>
        <v>E</v>
      </c>
      <c r="I330" t="str">
        <f t="shared" si="42"/>
        <v>Poor</v>
      </c>
      <c r="J330">
        <f t="shared" si="43"/>
        <v>95</v>
      </c>
      <c r="K330">
        <f t="shared" si="44"/>
        <v>55.98</v>
      </c>
      <c r="L330">
        <f t="shared" si="45"/>
        <v>20</v>
      </c>
      <c r="M330">
        <f t="shared" si="46"/>
        <v>462</v>
      </c>
      <c r="N330">
        <f t="shared" si="47"/>
        <v>38</v>
      </c>
    </row>
    <row r="331" spans="1:14">
      <c r="A331" t="s">
        <v>337</v>
      </c>
      <c r="B331" t="s">
        <v>9</v>
      </c>
      <c r="C331">
        <v>15</v>
      </c>
      <c r="D331">
        <v>60.1</v>
      </c>
      <c r="E331">
        <v>65</v>
      </c>
      <c r="F331">
        <v>40</v>
      </c>
      <c r="G331" t="str">
        <f t="shared" si="40"/>
        <v>PASS</v>
      </c>
      <c r="H331" t="str">
        <f t="shared" si="41"/>
        <v>E</v>
      </c>
      <c r="I331" t="str">
        <f t="shared" si="42"/>
        <v>Average</v>
      </c>
      <c r="J331">
        <f t="shared" si="43"/>
        <v>95</v>
      </c>
      <c r="K331">
        <f t="shared" si="44"/>
        <v>55.98</v>
      </c>
      <c r="L331">
        <f t="shared" si="45"/>
        <v>20</v>
      </c>
      <c r="M331">
        <f t="shared" si="46"/>
        <v>462</v>
      </c>
      <c r="N331">
        <f t="shared" si="47"/>
        <v>38</v>
      </c>
    </row>
    <row r="332" spans="1:14">
      <c r="A332" t="s">
        <v>338</v>
      </c>
      <c r="B332" t="s">
        <v>9</v>
      </c>
      <c r="C332">
        <v>17</v>
      </c>
      <c r="D332">
        <v>68.599999999999994</v>
      </c>
      <c r="E332">
        <v>69</v>
      </c>
      <c r="F332">
        <v>48</v>
      </c>
      <c r="G332" t="str">
        <f t="shared" si="40"/>
        <v>PASS</v>
      </c>
      <c r="H332" t="str">
        <f t="shared" si="41"/>
        <v>E</v>
      </c>
      <c r="I332" t="str">
        <f t="shared" si="42"/>
        <v>Average</v>
      </c>
      <c r="J332">
        <f t="shared" si="43"/>
        <v>95</v>
      </c>
      <c r="K332">
        <f t="shared" si="44"/>
        <v>55.98</v>
      </c>
      <c r="L332">
        <f t="shared" si="45"/>
        <v>20</v>
      </c>
      <c r="M332">
        <f t="shared" si="46"/>
        <v>462</v>
      </c>
      <c r="N332">
        <f t="shared" si="47"/>
        <v>38</v>
      </c>
    </row>
    <row r="333" spans="1:14">
      <c r="A333" t="s">
        <v>339</v>
      </c>
      <c r="B333" t="s">
        <v>7</v>
      </c>
      <c r="C333">
        <v>18</v>
      </c>
      <c r="D333">
        <v>54.6</v>
      </c>
      <c r="E333">
        <v>91</v>
      </c>
      <c r="F333">
        <v>54</v>
      </c>
      <c r="G333" t="str">
        <f t="shared" si="40"/>
        <v>PASS</v>
      </c>
      <c r="H333" t="str">
        <f t="shared" si="41"/>
        <v>D</v>
      </c>
      <c r="I333" t="str">
        <f t="shared" si="42"/>
        <v>Average</v>
      </c>
      <c r="J333">
        <f t="shared" si="43"/>
        <v>95</v>
      </c>
      <c r="K333">
        <f t="shared" si="44"/>
        <v>55.98</v>
      </c>
      <c r="L333">
        <f t="shared" si="45"/>
        <v>20</v>
      </c>
      <c r="M333">
        <f t="shared" si="46"/>
        <v>462</v>
      </c>
      <c r="N333">
        <f t="shared" si="47"/>
        <v>38</v>
      </c>
    </row>
    <row r="334" spans="1:14">
      <c r="A334" t="s">
        <v>340</v>
      </c>
      <c r="B334" t="s">
        <v>7</v>
      </c>
      <c r="C334">
        <v>19</v>
      </c>
      <c r="D334">
        <v>76</v>
      </c>
      <c r="E334">
        <v>73</v>
      </c>
      <c r="F334">
        <v>38</v>
      </c>
      <c r="G334" t="str">
        <f t="shared" si="40"/>
        <v>PASS</v>
      </c>
      <c r="H334" t="str">
        <f t="shared" si="41"/>
        <v>E</v>
      </c>
      <c r="I334" t="str">
        <f t="shared" si="42"/>
        <v>Poor</v>
      </c>
      <c r="J334">
        <f t="shared" si="43"/>
        <v>95</v>
      </c>
      <c r="K334">
        <f t="shared" si="44"/>
        <v>55.98</v>
      </c>
      <c r="L334">
        <f t="shared" si="45"/>
        <v>20</v>
      </c>
      <c r="M334">
        <f t="shared" si="46"/>
        <v>462</v>
      </c>
      <c r="N334">
        <f t="shared" si="47"/>
        <v>38</v>
      </c>
    </row>
    <row r="335" spans="1:14">
      <c r="A335" t="s">
        <v>341</v>
      </c>
      <c r="B335" t="s">
        <v>9</v>
      </c>
      <c r="C335">
        <v>16</v>
      </c>
      <c r="D335">
        <v>53.5</v>
      </c>
      <c r="E335">
        <v>43</v>
      </c>
      <c r="F335">
        <v>45</v>
      </c>
      <c r="G335" t="str">
        <f t="shared" si="40"/>
        <v>PASS</v>
      </c>
      <c r="H335" t="str">
        <f t="shared" si="41"/>
        <v>E</v>
      </c>
      <c r="I335" t="str">
        <f t="shared" si="42"/>
        <v>Average</v>
      </c>
      <c r="J335">
        <f t="shared" si="43"/>
        <v>95</v>
      </c>
      <c r="K335">
        <f t="shared" si="44"/>
        <v>55.98</v>
      </c>
      <c r="L335">
        <f t="shared" si="45"/>
        <v>20</v>
      </c>
      <c r="M335">
        <f t="shared" si="46"/>
        <v>462</v>
      </c>
      <c r="N335">
        <f t="shared" si="47"/>
        <v>38</v>
      </c>
    </row>
    <row r="336" spans="1:14">
      <c r="A336" t="s">
        <v>342</v>
      </c>
      <c r="B336" t="s">
        <v>9</v>
      </c>
      <c r="C336">
        <v>17</v>
      </c>
      <c r="D336">
        <v>69.099999999999994</v>
      </c>
      <c r="E336">
        <v>31</v>
      </c>
      <c r="F336">
        <v>39</v>
      </c>
      <c r="G336" t="str">
        <f t="shared" si="40"/>
        <v>PASS</v>
      </c>
      <c r="H336" t="str">
        <f t="shared" si="41"/>
        <v>E</v>
      </c>
      <c r="I336" t="str">
        <f t="shared" si="42"/>
        <v>Poor</v>
      </c>
      <c r="J336">
        <f t="shared" si="43"/>
        <v>95</v>
      </c>
      <c r="K336">
        <f t="shared" si="44"/>
        <v>55.98</v>
      </c>
      <c r="L336">
        <f t="shared" si="45"/>
        <v>20</v>
      </c>
      <c r="M336">
        <f t="shared" si="46"/>
        <v>462</v>
      </c>
      <c r="N336">
        <f t="shared" si="47"/>
        <v>38</v>
      </c>
    </row>
    <row r="337" spans="1:14">
      <c r="A337" t="s">
        <v>343</v>
      </c>
      <c r="B337" t="s">
        <v>7</v>
      </c>
      <c r="C337">
        <v>18</v>
      </c>
      <c r="D337">
        <v>86.1</v>
      </c>
      <c r="E337">
        <v>57</v>
      </c>
      <c r="F337">
        <v>43</v>
      </c>
      <c r="G337" t="str">
        <f t="shared" si="40"/>
        <v>PASS</v>
      </c>
      <c r="H337" t="str">
        <f t="shared" si="41"/>
        <v>E</v>
      </c>
      <c r="I337" t="str">
        <f t="shared" si="42"/>
        <v>Average</v>
      </c>
      <c r="J337">
        <f t="shared" si="43"/>
        <v>95</v>
      </c>
      <c r="K337">
        <f t="shared" si="44"/>
        <v>55.98</v>
      </c>
      <c r="L337">
        <f t="shared" si="45"/>
        <v>20</v>
      </c>
      <c r="M337">
        <f t="shared" si="46"/>
        <v>462</v>
      </c>
      <c r="N337">
        <f t="shared" si="47"/>
        <v>38</v>
      </c>
    </row>
    <row r="338" spans="1:14">
      <c r="A338" t="s">
        <v>344</v>
      </c>
      <c r="B338" t="s">
        <v>7</v>
      </c>
      <c r="C338">
        <v>16</v>
      </c>
      <c r="D338">
        <v>56.2</v>
      </c>
      <c r="E338">
        <v>70</v>
      </c>
      <c r="F338">
        <v>79</v>
      </c>
      <c r="G338" t="str">
        <f t="shared" si="40"/>
        <v>PASS</v>
      </c>
      <c r="H338" t="str">
        <f t="shared" si="41"/>
        <v>C</v>
      </c>
      <c r="I338" t="str">
        <f t="shared" si="42"/>
        <v>Good</v>
      </c>
      <c r="J338">
        <f t="shared" si="43"/>
        <v>95</v>
      </c>
      <c r="K338">
        <f t="shared" si="44"/>
        <v>55.98</v>
      </c>
      <c r="L338">
        <f t="shared" si="45"/>
        <v>20</v>
      </c>
      <c r="M338">
        <f t="shared" si="46"/>
        <v>462</v>
      </c>
      <c r="N338">
        <f t="shared" si="47"/>
        <v>38</v>
      </c>
    </row>
    <row r="339" spans="1:14">
      <c r="A339" t="s">
        <v>345</v>
      </c>
      <c r="B339" t="s">
        <v>7</v>
      </c>
      <c r="C339">
        <v>16</v>
      </c>
      <c r="D339">
        <v>82.2</v>
      </c>
      <c r="E339">
        <v>68</v>
      </c>
      <c r="F339">
        <v>44</v>
      </c>
      <c r="G339" t="str">
        <f t="shared" si="40"/>
        <v>PASS</v>
      </c>
      <c r="H339" t="str">
        <f t="shared" si="41"/>
        <v>E</v>
      </c>
      <c r="I339" t="str">
        <f t="shared" si="42"/>
        <v>Average</v>
      </c>
      <c r="J339">
        <f t="shared" si="43"/>
        <v>95</v>
      </c>
      <c r="K339">
        <f t="shared" si="44"/>
        <v>55.98</v>
      </c>
      <c r="L339">
        <f t="shared" si="45"/>
        <v>20</v>
      </c>
      <c r="M339">
        <f t="shared" si="46"/>
        <v>462</v>
      </c>
      <c r="N339">
        <f t="shared" si="47"/>
        <v>38</v>
      </c>
    </row>
    <row r="340" spans="1:14">
      <c r="A340" t="s">
        <v>346</v>
      </c>
      <c r="B340" t="s">
        <v>7</v>
      </c>
      <c r="C340">
        <v>18</v>
      </c>
      <c r="D340">
        <v>82.3</v>
      </c>
      <c r="E340">
        <v>44</v>
      </c>
      <c r="F340">
        <v>41</v>
      </c>
      <c r="G340" t="str">
        <f t="shared" si="40"/>
        <v>PASS</v>
      </c>
      <c r="H340" t="str">
        <f t="shared" si="41"/>
        <v>E</v>
      </c>
      <c r="I340" t="str">
        <f t="shared" si="42"/>
        <v>Average</v>
      </c>
      <c r="J340">
        <f t="shared" si="43"/>
        <v>95</v>
      </c>
      <c r="K340">
        <f t="shared" si="44"/>
        <v>55.98</v>
      </c>
      <c r="L340">
        <f t="shared" si="45"/>
        <v>20</v>
      </c>
      <c r="M340">
        <f t="shared" si="46"/>
        <v>462</v>
      </c>
      <c r="N340">
        <f t="shared" si="47"/>
        <v>38</v>
      </c>
    </row>
    <row r="341" spans="1:14">
      <c r="A341" t="s">
        <v>347</v>
      </c>
      <c r="B341" t="s">
        <v>9</v>
      </c>
      <c r="C341">
        <v>19</v>
      </c>
      <c r="D341">
        <v>76.400000000000006</v>
      </c>
      <c r="E341">
        <v>46</v>
      </c>
      <c r="F341">
        <v>35</v>
      </c>
      <c r="G341" t="str">
        <f t="shared" si="40"/>
        <v>PASS</v>
      </c>
      <c r="H341" t="str">
        <f t="shared" si="41"/>
        <v>E</v>
      </c>
      <c r="I341" t="str">
        <f t="shared" si="42"/>
        <v>Poor</v>
      </c>
      <c r="J341">
        <f t="shared" si="43"/>
        <v>95</v>
      </c>
      <c r="K341">
        <f t="shared" si="44"/>
        <v>55.98</v>
      </c>
      <c r="L341">
        <f t="shared" si="45"/>
        <v>20</v>
      </c>
      <c r="M341">
        <f t="shared" si="46"/>
        <v>462</v>
      </c>
      <c r="N341">
        <f t="shared" si="47"/>
        <v>38</v>
      </c>
    </row>
    <row r="342" spans="1:14">
      <c r="A342" t="s">
        <v>348</v>
      </c>
      <c r="B342" t="s">
        <v>9</v>
      </c>
      <c r="C342">
        <v>17</v>
      </c>
      <c r="D342">
        <v>84.1</v>
      </c>
      <c r="E342">
        <v>38</v>
      </c>
      <c r="F342">
        <v>46</v>
      </c>
      <c r="G342" t="str">
        <f t="shared" si="40"/>
        <v>PASS</v>
      </c>
      <c r="H342" t="str">
        <f t="shared" si="41"/>
        <v>E</v>
      </c>
      <c r="I342" t="str">
        <f t="shared" si="42"/>
        <v>Average</v>
      </c>
      <c r="J342">
        <f t="shared" si="43"/>
        <v>95</v>
      </c>
      <c r="K342">
        <f t="shared" si="44"/>
        <v>55.98</v>
      </c>
      <c r="L342">
        <f t="shared" si="45"/>
        <v>20</v>
      </c>
      <c r="M342">
        <f t="shared" si="46"/>
        <v>462</v>
      </c>
      <c r="N342">
        <f t="shared" si="47"/>
        <v>38</v>
      </c>
    </row>
    <row r="343" spans="1:14">
      <c r="A343" t="s">
        <v>349</v>
      </c>
      <c r="B343" t="s">
        <v>9</v>
      </c>
      <c r="C343">
        <v>16</v>
      </c>
      <c r="D343">
        <v>96.1</v>
      </c>
      <c r="E343">
        <v>84</v>
      </c>
      <c r="F343">
        <v>57</v>
      </c>
      <c r="G343" t="str">
        <f t="shared" si="40"/>
        <v>PASS</v>
      </c>
      <c r="H343" t="str">
        <f t="shared" si="41"/>
        <v>D</v>
      </c>
      <c r="I343" t="str">
        <f t="shared" si="42"/>
        <v>Average</v>
      </c>
      <c r="J343">
        <f t="shared" si="43"/>
        <v>95</v>
      </c>
      <c r="K343">
        <f t="shared" si="44"/>
        <v>55.98</v>
      </c>
      <c r="L343">
        <f t="shared" si="45"/>
        <v>20</v>
      </c>
      <c r="M343">
        <f t="shared" si="46"/>
        <v>462</v>
      </c>
      <c r="N343">
        <f t="shared" si="47"/>
        <v>38</v>
      </c>
    </row>
    <row r="344" spans="1:14">
      <c r="A344" t="s">
        <v>350</v>
      </c>
      <c r="B344" t="s">
        <v>9</v>
      </c>
      <c r="C344">
        <v>15</v>
      </c>
      <c r="D344">
        <v>76.8</v>
      </c>
      <c r="E344">
        <v>40</v>
      </c>
      <c r="F344">
        <v>58</v>
      </c>
      <c r="G344" t="str">
        <f t="shared" si="40"/>
        <v>PASS</v>
      </c>
      <c r="H344" t="str">
        <f t="shared" si="41"/>
        <v>D</v>
      </c>
      <c r="I344" t="str">
        <f t="shared" si="42"/>
        <v>Average</v>
      </c>
      <c r="J344">
        <f t="shared" si="43"/>
        <v>95</v>
      </c>
      <c r="K344">
        <f t="shared" si="44"/>
        <v>55.98</v>
      </c>
      <c r="L344">
        <f t="shared" si="45"/>
        <v>20</v>
      </c>
      <c r="M344">
        <f t="shared" si="46"/>
        <v>462</v>
      </c>
      <c r="N344">
        <f t="shared" si="47"/>
        <v>38</v>
      </c>
    </row>
    <row r="345" spans="1:14">
      <c r="A345" t="s">
        <v>351</v>
      </c>
      <c r="B345" t="s">
        <v>7</v>
      </c>
      <c r="C345">
        <v>19</v>
      </c>
      <c r="D345">
        <v>98.7</v>
      </c>
      <c r="E345">
        <v>38</v>
      </c>
      <c r="F345">
        <v>43</v>
      </c>
      <c r="G345" t="str">
        <f t="shared" si="40"/>
        <v>PASS</v>
      </c>
      <c r="H345" t="str">
        <f t="shared" si="41"/>
        <v>E</v>
      </c>
      <c r="I345" t="str">
        <f t="shared" si="42"/>
        <v>Average</v>
      </c>
      <c r="J345">
        <f t="shared" si="43"/>
        <v>95</v>
      </c>
      <c r="K345">
        <f t="shared" si="44"/>
        <v>55.98</v>
      </c>
      <c r="L345">
        <f t="shared" si="45"/>
        <v>20</v>
      </c>
      <c r="M345">
        <f t="shared" si="46"/>
        <v>462</v>
      </c>
      <c r="N345">
        <f t="shared" si="47"/>
        <v>38</v>
      </c>
    </row>
    <row r="346" spans="1:14">
      <c r="A346" t="s">
        <v>352</v>
      </c>
      <c r="B346" t="s">
        <v>9</v>
      </c>
      <c r="C346">
        <v>16</v>
      </c>
      <c r="D346">
        <v>62.2</v>
      </c>
      <c r="E346">
        <v>37</v>
      </c>
      <c r="F346">
        <v>24</v>
      </c>
      <c r="G346" t="str">
        <f t="shared" si="40"/>
        <v>FAIL</v>
      </c>
      <c r="H346" t="str">
        <f t="shared" si="41"/>
        <v>E</v>
      </c>
      <c r="I346" t="str">
        <f t="shared" si="42"/>
        <v>Poor</v>
      </c>
      <c r="J346">
        <f t="shared" si="43"/>
        <v>95</v>
      </c>
      <c r="K346">
        <f t="shared" si="44"/>
        <v>55.98</v>
      </c>
      <c r="L346">
        <f t="shared" si="45"/>
        <v>20</v>
      </c>
      <c r="M346">
        <f t="shared" si="46"/>
        <v>462</v>
      </c>
      <c r="N346">
        <f t="shared" si="47"/>
        <v>38</v>
      </c>
    </row>
    <row r="347" spans="1:14">
      <c r="A347" t="s">
        <v>353</v>
      </c>
      <c r="B347" t="s">
        <v>7</v>
      </c>
      <c r="C347">
        <v>15</v>
      </c>
      <c r="D347">
        <v>85.4</v>
      </c>
      <c r="E347">
        <v>74</v>
      </c>
      <c r="F347">
        <v>44</v>
      </c>
      <c r="G347" t="str">
        <f t="shared" si="40"/>
        <v>PASS</v>
      </c>
      <c r="H347" t="str">
        <f t="shared" si="41"/>
        <v>E</v>
      </c>
      <c r="I347" t="str">
        <f t="shared" si="42"/>
        <v>Average</v>
      </c>
      <c r="J347">
        <f t="shared" si="43"/>
        <v>95</v>
      </c>
      <c r="K347">
        <f t="shared" si="44"/>
        <v>55.98</v>
      </c>
      <c r="L347">
        <f t="shared" si="45"/>
        <v>20</v>
      </c>
      <c r="M347">
        <f t="shared" si="46"/>
        <v>462</v>
      </c>
      <c r="N347">
        <f t="shared" si="47"/>
        <v>38</v>
      </c>
    </row>
    <row r="348" spans="1:14">
      <c r="A348" t="s">
        <v>354</v>
      </c>
      <c r="B348" t="s">
        <v>9</v>
      </c>
      <c r="C348">
        <v>16</v>
      </c>
      <c r="D348">
        <v>56.3</v>
      </c>
      <c r="E348">
        <v>72</v>
      </c>
      <c r="F348">
        <v>60</v>
      </c>
      <c r="G348" t="str">
        <f t="shared" si="40"/>
        <v>PASS</v>
      </c>
      <c r="H348" t="str">
        <f t="shared" si="41"/>
        <v>C</v>
      </c>
      <c r="I348" t="str">
        <f t="shared" si="42"/>
        <v>Good</v>
      </c>
      <c r="J348">
        <f t="shared" si="43"/>
        <v>95</v>
      </c>
      <c r="K348">
        <f t="shared" si="44"/>
        <v>55.98</v>
      </c>
      <c r="L348">
        <f t="shared" si="45"/>
        <v>20</v>
      </c>
      <c r="M348">
        <f t="shared" si="46"/>
        <v>462</v>
      </c>
      <c r="N348">
        <f t="shared" si="47"/>
        <v>38</v>
      </c>
    </row>
    <row r="349" spans="1:14">
      <c r="A349" t="s">
        <v>355</v>
      </c>
      <c r="B349" t="s">
        <v>9</v>
      </c>
      <c r="C349">
        <v>17</v>
      </c>
      <c r="D349">
        <v>53.2</v>
      </c>
      <c r="E349">
        <v>88</v>
      </c>
      <c r="F349">
        <v>61</v>
      </c>
      <c r="G349" t="str">
        <f t="shared" si="40"/>
        <v>PASS</v>
      </c>
      <c r="H349" t="str">
        <f t="shared" si="41"/>
        <v>C</v>
      </c>
      <c r="I349" t="str">
        <f t="shared" si="42"/>
        <v>Good</v>
      </c>
      <c r="J349">
        <f t="shared" si="43"/>
        <v>95</v>
      </c>
      <c r="K349">
        <f t="shared" si="44"/>
        <v>55.98</v>
      </c>
      <c r="L349">
        <f t="shared" si="45"/>
        <v>20</v>
      </c>
      <c r="M349">
        <f t="shared" si="46"/>
        <v>462</v>
      </c>
      <c r="N349">
        <f t="shared" si="47"/>
        <v>38</v>
      </c>
    </row>
    <row r="350" spans="1:14">
      <c r="A350" t="s">
        <v>356</v>
      </c>
      <c r="B350" t="s">
        <v>9</v>
      </c>
      <c r="C350">
        <v>15</v>
      </c>
      <c r="D350">
        <v>93</v>
      </c>
      <c r="E350">
        <v>62</v>
      </c>
      <c r="F350">
        <v>74</v>
      </c>
      <c r="G350" t="str">
        <f t="shared" si="40"/>
        <v>PASS</v>
      </c>
      <c r="H350" t="str">
        <f t="shared" si="41"/>
        <v>C</v>
      </c>
      <c r="I350" t="str">
        <f t="shared" si="42"/>
        <v>Good</v>
      </c>
      <c r="J350">
        <f t="shared" si="43"/>
        <v>95</v>
      </c>
      <c r="K350">
        <f t="shared" si="44"/>
        <v>55.98</v>
      </c>
      <c r="L350">
        <f t="shared" si="45"/>
        <v>20</v>
      </c>
      <c r="M350">
        <f t="shared" si="46"/>
        <v>462</v>
      </c>
      <c r="N350">
        <f t="shared" si="47"/>
        <v>38</v>
      </c>
    </row>
    <row r="351" spans="1:14">
      <c r="A351" t="s">
        <v>357</v>
      </c>
      <c r="B351" t="s">
        <v>7</v>
      </c>
      <c r="C351">
        <v>19</v>
      </c>
      <c r="D351">
        <v>86.1</v>
      </c>
      <c r="E351">
        <v>31</v>
      </c>
      <c r="F351">
        <v>58</v>
      </c>
      <c r="G351" t="str">
        <f t="shared" si="40"/>
        <v>PASS</v>
      </c>
      <c r="H351" t="str">
        <f t="shared" si="41"/>
        <v>D</v>
      </c>
      <c r="I351" t="str">
        <f t="shared" si="42"/>
        <v>Average</v>
      </c>
      <c r="J351">
        <f t="shared" si="43"/>
        <v>95</v>
      </c>
      <c r="K351">
        <f t="shared" si="44"/>
        <v>55.98</v>
      </c>
      <c r="L351">
        <f t="shared" si="45"/>
        <v>20</v>
      </c>
      <c r="M351">
        <f t="shared" si="46"/>
        <v>462</v>
      </c>
      <c r="N351">
        <f t="shared" si="47"/>
        <v>38</v>
      </c>
    </row>
    <row r="352" spans="1:14">
      <c r="A352" t="s">
        <v>358</v>
      </c>
      <c r="B352" t="s">
        <v>7</v>
      </c>
      <c r="C352">
        <v>18</v>
      </c>
      <c r="D352">
        <v>69.099999999999994</v>
      </c>
      <c r="E352">
        <v>83</v>
      </c>
      <c r="F352">
        <v>48</v>
      </c>
      <c r="G352" t="str">
        <f t="shared" si="40"/>
        <v>PASS</v>
      </c>
      <c r="H352" t="str">
        <f t="shared" si="41"/>
        <v>E</v>
      </c>
      <c r="I352" t="str">
        <f t="shared" si="42"/>
        <v>Average</v>
      </c>
      <c r="J352">
        <f t="shared" si="43"/>
        <v>95</v>
      </c>
      <c r="K352">
        <f t="shared" si="44"/>
        <v>55.98</v>
      </c>
      <c r="L352">
        <f t="shared" si="45"/>
        <v>20</v>
      </c>
      <c r="M352">
        <f t="shared" si="46"/>
        <v>462</v>
      </c>
      <c r="N352">
        <f t="shared" si="47"/>
        <v>38</v>
      </c>
    </row>
    <row r="353" spans="1:14">
      <c r="A353" t="s">
        <v>359</v>
      </c>
      <c r="B353" t="s">
        <v>9</v>
      </c>
      <c r="C353">
        <v>16</v>
      </c>
      <c r="D353">
        <v>95.8</v>
      </c>
      <c r="E353">
        <v>77</v>
      </c>
      <c r="F353">
        <v>54</v>
      </c>
      <c r="G353" t="str">
        <f t="shared" si="40"/>
        <v>PASS</v>
      </c>
      <c r="H353" t="str">
        <f t="shared" si="41"/>
        <v>D</v>
      </c>
      <c r="I353" t="str">
        <f t="shared" si="42"/>
        <v>Average</v>
      </c>
      <c r="J353">
        <f t="shared" si="43"/>
        <v>95</v>
      </c>
      <c r="K353">
        <f t="shared" si="44"/>
        <v>55.98</v>
      </c>
      <c r="L353">
        <f t="shared" si="45"/>
        <v>20</v>
      </c>
      <c r="M353">
        <f t="shared" si="46"/>
        <v>462</v>
      </c>
      <c r="N353">
        <f t="shared" si="47"/>
        <v>38</v>
      </c>
    </row>
    <row r="354" spans="1:14">
      <c r="A354" t="s">
        <v>360</v>
      </c>
      <c r="B354" t="s">
        <v>7</v>
      </c>
      <c r="C354">
        <v>16</v>
      </c>
      <c r="D354">
        <v>90.2</v>
      </c>
      <c r="E354">
        <v>89</v>
      </c>
      <c r="F354">
        <v>52</v>
      </c>
      <c r="G354" t="str">
        <f t="shared" si="40"/>
        <v>PASS</v>
      </c>
      <c r="H354" t="str">
        <f t="shared" si="41"/>
        <v>D</v>
      </c>
      <c r="I354" t="str">
        <f t="shared" si="42"/>
        <v>Average</v>
      </c>
      <c r="J354">
        <f t="shared" si="43"/>
        <v>95</v>
      </c>
      <c r="K354">
        <f t="shared" si="44"/>
        <v>55.98</v>
      </c>
      <c r="L354">
        <f t="shared" si="45"/>
        <v>20</v>
      </c>
      <c r="M354">
        <f t="shared" si="46"/>
        <v>462</v>
      </c>
      <c r="N354">
        <f t="shared" si="47"/>
        <v>38</v>
      </c>
    </row>
    <row r="355" spans="1:14">
      <c r="A355" t="s">
        <v>361</v>
      </c>
      <c r="B355" t="s">
        <v>9</v>
      </c>
      <c r="C355">
        <v>17</v>
      </c>
      <c r="D355">
        <v>77.7</v>
      </c>
      <c r="E355">
        <v>67</v>
      </c>
      <c r="F355">
        <v>45</v>
      </c>
      <c r="G355" t="str">
        <f t="shared" si="40"/>
        <v>PASS</v>
      </c>
      <c r="H355" t="str">
        <f t="shared" si="41"/>
        <v>E</v>
      </c>
      <c r="I355" t="str">
        <f t="shared" si="42"/>
        <v>Average</v>
      </c>
      <c r="J355">
        <f t="shared" si="43"/>
        <v>95</v>
      </c>
      <c r="K355">
        <f t="shared" si="44"/>
        <v>55.98</v>
      </c>
      <c r="L355">
        <f t="shared" si="45"/>
        <v>20</v>
      </c>
      <c r="M355">
        <f t="shared" si="46"/>
        <v>462</v>
      </c>
      <c r="N355">
        <f t="shared" si="47"/>
        <v>38</v>
      </c>
    </row>
    <row r="356" spans="1:14">
      <c r="A356" t="s">
        <v>362</v>
      </c>
      <c r="B356" t="s">
        <v>9</v>
      </c>
      <c r="C356">
        <v>19</v>
      </c>
      <c r="D356">
        <v>73.2</v>
      </c>
      <c r="E356">
        <v>61</v>
      </c>
      <c r="F356">
        <v>36</v>
      </c>
      <c r="G356" t="str">
        <f t="shared" si="40"/>
        <v>PASS</v>
      </c>
      <c r="H356" t="str">
        <f t="shared" si="41"/>
        <v>E</v>
      </c>
      <c r="I356" t="str">
        <f t="shared" si="42"/>
        <v>Poor</v>
      </c>
      <c r="J356">
        <f t="shared" si="43"/>
        <v>95</v>
      </c>
      <c r="K356">
        <f t="shared" si="44"/>
        <v>55.98</v>
      </c>
      <c r="L356">
        <f t="shared" si="45"/>
        <v>20</v>
      </c>
      <c r="M356">
        <f t="shared" si="46"/>
        <v>462</v>
      </c>
      <c r="N356">
        <f t="shared" si="47"/>
        <v>38</v>
      </c>
    </row>
    <row r="357" spans="1:14">
      <c r="A357" t="s">
        <v>363</v>
      </c>
      <c r="B357" t="s">
        <v>7</v>
      </c>
      <c r="C357">
        <v>18</v>
      </c>
      <c r="D357">
        <v>61.6</v>
      </c>
      <c r="E357">
        <v>30</v>
      </c>
      <c r="F357">
        <v>36</v>
      </c>
      <c r="G357" t="str">
        <f t="shared" si="40"/>
        <v>PASS</v>
      </c>
      <c r="H357" t="str">
        <f t="shared" si="41"/>
        <v>E</v>
      </c>
      <c r="I357" t="str">
        <f t="shared" si="42"/>
        <v>Poor</v>
      </c>
      <c r="J357">
        <f t="shared" si="43"/>
        <v>95</v>
      </c>
      <c r="K357">
        <f t="shared" si="44"/>
        <v>55.98</v>
      </c>
      <c r="L357">
        <f t="shared" si="45"/>
        <v>20</v>
      </c>
      <c r="M357">
        <f t="shared" si="46"/>
        <v>462</v>
      </c>
      <c r="N357">
        <f t="shared" si="47"/>
        <v>38</v>
      </c>
    </row>
    <row r="358" spans="1:14">
      <c r="A358" t="s">
        <v>364</v>
      </c>
      <c r="B358" t="s">
        <v>9</v>
      </c>
      <c r="C358">
        <v>17</v>
      </c>
      <c r="D358">
        <v>60.3</v>
      </c>
      <c r="E358">
        <v>37</v>
      </c>
      <c r="F358">
        <v>21</v>
      </c>
      <c r="G358" t="str">
        <f t="shared" si="40"/>
        <v>FAIL</v>
      </c>
      <c r="H358" t="str">
        <f t="shared" si="41"/>
        <v>E</v>
      </c>
      <c r="I358" t="str">
        <f t="shared" si="42"/>
        <v>Poor</v>
      </c>
      <c r="J358">
        <f t="shared" si="43"/>
        <v>95</v>
      </c>
      <c r="K358">
        <f t="shared" si="44"/>
        <v>55.98</v>
      </c>
      <c r="L358">
        <f t="shared" si="45"/>
        <v>20</v>
      </c>
      <c r="M358">
        <f t="shared" si="46"/>
        <v>462</v>
      </c>
      <c r="N358">
        <f t="shared" si="47"/>
        <v>38</v>
      </c>
    </row>
    <row r="359" spans="1:14">
      <c r="A359" t="s">
        <v>365</v>
      </c>
      <c r="B359" t="s">
        <v>9</v>
      </c>
      <c r="C359">
        <v>15</v>
      </c>
      <c r="D359">
        <v>96.1</v>
      </c>
      <c r="E359">
        <v>88</v>
      </c>
      <c r="F359">
        <v>58</v>
      </c>
      <c r="G359" t="str">
        <f t="shared" si="40"/>
        <v>PASS</v>
      </c>
      <c r="H359" t="str">
        <f t="shared" si="41"/>
        <v>D</v>
      </c>
      <c r="I359" t="str">
        <f t="shared" si="42"/>
        <v>Average</v>
      </c>
      <c r="J359">
        <f t="shared" si="43"/>
        <v>95</v>
      </c>
      <c r="K359">
        <f t="shared" si="44"/>
        <v>55.98</v>
      </c>
      <c r="L359">
        <f t="shared" si="45"/>
        <v>20</v>
      </c>
      <c r="M359">
        <f t="shared" si="46"/>
        <v>462</v>
      </c>
      <c r="N359">
        <f t="shared" si="47"/>
        <v>38</v>
      </c>
    </row>
    <row r="360" spans="1:14">
      <c r="A360" t="s">
        <v>366</v>
      </c>
      <c r="B360" t="s">
        <v>7</v>
      </c>
      <c r="C360">
        <v>19</v>
      </c>
      <c r="D360">
        <v>75.3</v>
      </c>
      <c r="E360">
        <v>85</v>
      </c>
      <c r="F360">
        <v>53</v>
      </c>
      <c r="G360" t="str">
        <f t="shared" si="40"/>
        <v>PASS</v>
      </c>
      <c r="H360" t="str">
        <f t="shared" si="41"/>
        <v>D</v>
      </c>
      <c r="I360" t="str">
        <f t="shared" si="42"/>
        <v>Average</v>
      </c>
      <c r="J360">
        <f t="shared" si="43"/>
        <v>95</v>
      </c>
      <c r="K360">
        <f t="shared" si="44"/>
        <v>55.98</v>
      </c>
      <c r="L360">
        <f t="shared" si="45"/>
        <v>20</v>
      </c>
      <c r="M360">
        <f t="shared" si="46"/>
        <v>462</v>
      </c>
      <c r="N360">
        <f t="shared" si="47"/>
        <v>38</v>
      </c>
    </row>
    <row r="361" spans="1:14">
      <c r="A361" t="s">
        <v>367</v>
      </c>
      <c r="B361" t="s">
        <v>7</v>
      </c>
      <c r="C361">
        <v>16</v>
      </c>
      <c r="D361">
        <v>63</v>
      </c>
      <c r="E361">
        <v>70</v>
      </c>
      <c r="F361">
        <v>48</v>
      </c>
      <c r="G361" t="str">
        <f t="shared" si="40"/>
        <v>PASS</v>
      </c>
      <c r="H361" t="str">
        <f t="shared" si="41"/>
        <v>E</v>
      </c>
      <c r="I361" t="str">
        <f t="shared" si="42"/>
        <v>Average</v>
      </c>
      <c r="J361">
        <f t="shared" si="43"/>
        <v>95</v>
      </c>
      <c r="K361">
        <f t="shared" si="44"/>
        <v>55.98</v>
      </c>
      <c r="L361">
        <f t="shared" si="45"/>
        <v>20</v>
      </c>
      <c r="M361">
        <f t="shared" si="46"/>
        <v>462</v>
      </c>
      <c r="N361">
        <f t="shared" si="47"/>
        <v>38</v>
      </c>
    </row>
    <row r="362" spans="1:14">
      <c r="A362" t="s">
        <v>368</v>
      </c>
      <c r="B362" t="s">
        <v>9</v>
      </c>
      <c r="C362">
        <v>16</v>
      </c>
      <c r="D362">
        <v>97.2</v>
      </c>
      <c r="E362">
        <v>43</v>
      </c>
      <c r="F362">
        <v>33</v>
      </c>
      <c r="G362" t="str">
        <f t="shared" si="40"/>
        <v>FAIL</v>
      </c>
      <c r="H362" t="str">
        <f t="shared" si="41"/>
        <v>E</v>
      </c>
      <c r="I362" t="str">
        <f t="shared" si="42"/>
        <v>Poor</v>
      </c>
      <c r="J362">
        <f t="shared" si="43"/>
        <v>95</v>
      </c>
      <c r="K362">
        <f t="shared" si="44"/>
        <v>55.98</v>
      </c>
      <c r="L362">
        <f t="shared" si="45"/>
        <v>20</v>
      </c>
      <c r="M362">
        <f t="shared" si="46"/>
        <v>462</v>
      </c>
      <c r="N362">
        <f t="shared" si="47"/>
        <v>38</v>
      </c>
    </row>
    <row r="363" spans="1:14">
      <c r="A363" t="s">
        <v>369</v>
      </c>
      <c r="B363" t="s">
        <v>9</v>
      </c>
      <c r="C363">
        <v>18</v>
      </c>
      <c r="D363">
        <v>70.3</v>
      </c>
      <c r="E363">
        <v>87</v>
      </c>
      <c r="F363">
        <v>50</v>
      </c>
      <c r="G363" t="str">
        <f t="shared" si="40"/>
        <v>PASS</v>
      </c>
      <c r="H363" t="str">
        <f t="shared" si="41"/>
        <v>D</v>
      </c>
      <c r="I363" t="str">
        <f t="shared" si="42"/>
        <v>Average</v>
      </c>
      <c r="J363">
        <f t="shared" si="43"/>
        <v>95</v>
      </c>
      <c r="K363">
        <f t="shared" si="44"/>
        <v>55.98</v>
      </c>
      <c r="L363">
        <f t="shared" si="45"/>
        <v>20</v>
      </c>
      <c r="M363">
        <f t="shared" si="46"/>
        <v>462</v>
      </c>
      <c r="N363">
        <f t="shared" si="47"/>
        <v>38</v>
      </c>
    </row>
    <row r="364" spans="1:14">
      <c r="A364" t="s">
        <v>370</v>
      </c>
      <c r="B364" t="s">
        <v>9</v>
      </c>
      <c r="C364">
        <v>17</v>
      </c>
      <c r="D364">
        <v>56</v>
      </c>
      <c r="E364">
        <v>57</v>
      </c>
      <c r="F364">
        <v>66</v>
      </c>
      <c r="G364" t="str">
        <f t="shared" si="40"/>
        <v>PASS</v>
      </c>
      <c r="H364" t="str">
        <f t="shared" si="41"/>
        <v>C</v>
      </c>
      <c r="I364" t="str">
        <f t="shared" si="42"/>
        <v>Good</v>
      </c>
      <c r="J364">
        <f t="shared" si="43"/>
        <v>95</v>
      </c>
      <c r="K364">
        <f t="shared" si="44"/>
        <v>55.98</v>
      </c>
      <c r="L364">
        <f t="shared" si="45"/>
        <v>20</v>
      </c>
      <c r="M364">
        <f t="shared" si="46"/>
        <v>462</v>
      </c>
      <c r="N364">
        <f t="shared" si="47"/>
        <v>38</v>
      </c>
    </row>
    <row r="365" spans="1:14">
      <c r="A365" t="s">
        <v>371</v>
      </c>
      <c r="B365" t="s">
        <v>7</v>
      </c>
      <c r="C365">
        <v>15</v>
      </c>
      <c r="D365">
        <v>62.4</v>
      </c>
      <c r="E365">
        <v>68</v>
      </c>
      <c r="F365">
        <v>61</v>
      </c>
      <c r="G365" t="str">
        <f t="shared" si="40"/>
        <v>PASS</v>
      </c>
      <c r="H365" t="str">
        <f t="shared" si="41"/>
        <v>C</v>
      </c>
      <c r="I365" t="str">
        <f t="shared" si="42"/>
        <v>Good</v>
      </c>
      <c r="J365">
        <f t="shared" si="43"/>
        <v>95</v>
      </c>
      <c r="K365">
        <f t="shared" si="44"/>
        <v>55.98</v>
      </c>
      <c r="L365">
        <f t="shared" si="45"/>
        <v>20</v>
      </c>
      <c r="M365">
        <f t="shared" si="46"/>
        <v>462</v>
      </c>
      <c r="N365">
        <f t="shared" si="47"/>
        <v>38</v>
      </c>
    </row>
    <row r="366" spans="1:14">
      <c r="A366" t="s">
        <v>372</v>
      </c>
      <c r="B366" t="s">
        <v>7</v>
      </c>
      <c r="C366">
        <v>15</v>
      </c>
      <c r="D366">
        <v>92.7</v>
      </c>
      <c r="E366">
        <v>89</v>
      </c>
      <c r="F366">
        <v>54</v>
      </c>
      <c r="G366" t="str">
        <f t="shared" si="40"/>
        <v>PASS</v>
      </c>
      <c r="H366" t="str">
        <f t="shared" si="41"/>
        <v>D</v>
      </c>
      <c r="I366" t="str">
        <f t="shared" si="42"/>
        <v>Average</v>
      </c>
      <c r="J366">
        <f t="shared" si="43"/>
        <v>95</v>
      </c>
      <c r="K366">
        <f t="shared" si="44"/>
        <v>55.98</v>
      </c>
      <c r="L366">
        <f t="shared" si="45"/>
        <v>20</v>
      </c>
      <c r="M366">
        <f t="shared" si="46"/>
        <v>462</v>
      </c>
      <c r="N366">
        <f t="shared" si="47"/>
        <v>38</v>
      </c>
    </row>
    <row r="367" spans="1:14">
      <c r="A367" t="s">
        <v>373</v>
      </c>
      <c r="B367" t="s">
        <v>7</v>
      </c>
      <c r="C367">
        <v>15</v>
      </c>
      <c r="D367">
        <v>53.1</v>
      </c>
      <c r="E367">
        <v>81</v>
      </c>
      <c r="F367">
        <v>31</v>
      </c>
      <c r="G367" t="str">
        <f t="shared" si="40"/>
        <v>FAIL</v>
      </c>
      <c r="H367" t="str">
        <f t="shared" si="41"/>
        <v>E</v>
      </c>
      <c r="I367" t="str">
        <f t="shared" si="42"/>
        <v>Poor</v>
      </c>
      <c r="J367">
        <f t="shared" si="43"/>
        <v>95</v>
      </c>
      <c r="K367">
        <f t="shared" si="44"/>
        <v>55.98</v>
      </c>
      <c r="L367">
        <f t="shared" si="45"/>
        <v>20</v>
      </c>
      <c r="M367">
        <f t="shared" si="46"/>
        <v>462</v>
      </c>
      <c r="N367">
        <f t="shared" si="47"/>
        <v>38</v>
      </c>
    </row>
    <row r="368" spans="1:14">
      <c r="A368" t="s">
        <v>374</v>
      </c>
      <c r="B368" t="s">
        <v>7</v>
      </c>
      <c r="C368">
        <v>19</v>
      </c>
      <c r="D368">
        <v>62.9</v>
      </c>
      <c r="E368">
        <v>55</v>
      </c>
      <c r="F368">
        <v>64</v>
      </c>
      <c r="G368" t="str">
        <f t="shared" si="40"/>
        <v>PASS</v>
      </c>
      <c r="H368" t="str">
        <f t="shared" si="41"/>
        <v>C</v>
      </c>
      <c r="I368" t="str">
        <f t="shared" si="42"/>
        <v>Good</v>
      </c>
      <c r="J368">
        <f t="shared" si="43"/>
        <v>95</v>
      </c>
      <c r="K368">
        <f t="shared" si="44"/>
        <v>55.98</v>
      </c>
      <c r="L368">
        <f t="shared" si="45"/>
        <v>20</v>
      </c>
      <c r="M368">
        <f t="shared" si="46"/>
        <v>462</v>
      </c>
      <c r="N368">
        <f t="shared" si="47"/>
        <v>38</v>
      </c>
    </row>
    <row r="369" spans="1:14">
      <c r="A369" t="s">
        <v>375</v>
      </c>
      <c r="B369" t="s">
        <v>9</v>
      </c>
      <c r="C369">
        <v>16</v>
      </c>
      <c r="D369">
        <v>95.3</v>
      </c>
      <c r="E369">
        <v>89</v>
      </c>
      <c r="F369">
        <v>38</v>
      </c>
      <c r="G369" t="str">
        <f t="shared" si="40"/>
        <v>PASS</v>
      </c>
      <c r="H369" t="str">
        <f t="shared" si="41"/>
        <v>E</v>
      </c>
      <c r="I369" t="str">
        <f t="shared" si="42"/>
        <v>Poor</v>
      </c>
      <c r="J369">
        <f t="shared" si="43"/>
        <v>95</v>
      </c>
      <c r="K369">
        <f t="shared" si="44"/>
        <v>55.98</v>
      </c>
      <c r="L369">
        <f t="shared" si="45"/>
        <v>20</v>
      </c>
      <c r="M369">
        <f t="shared" si="46"/>
        <v>462</v>
      </c>
      <c r="N369">
        <f t="shared" si="47"/>
        <v>38</v>
      </c>
    </row>
    <row r="370" spans="1:14">
      <c r="A370" t="s">
        <v>376</v>
      </c>
      <c r="B370" t="s">
        <v>7</v>
      </c>
      <c r="C370">
        <v>19</v>
      </c>
      <c r="D370">
        <v>91.1</v>
      </c>
      <c r="E370">
        <v>78</v>
      </c>
      <c r="F370">
        <v>71</v>
      </c>
      <c r="G370" t="str">
        <f t="shared" si="40"/>
        <v>PASS</v>
      </c>
      <c r="H370" t="str">
        <f t="shared" si="41"/>
        <v>C</v>
      </c>
      <c r="I370" t="str">
        <f t="shared" si="42"/>
        <v>Good</v>
      </c>
      <c r="J370">
        <f t="shared" si="43"/>
        <v>95</v>
      </c>
      <c r="K370">
        <f t="shared" si="44"/>
        <v>55.98</v>
      </c>
      <c r="L370">
        <f t="shared" si="45"/>
        <v>20</v>
      </c>
      <c r="M370">
        <f t="shared" si="46"/>
        <v>462</v>
      </c>
      <c r="N370">
        <f t="shared" si="47"/>
        <v>38</v>
      </c>
    </row>
    <row r="371" spans="1:14">
      <c r="A371" t="s">
        <v>377</v>
      </c>
      <c r="B371" t="s">
        <v>9</v>
      </c>
      <c r="C371">
        <v>16</v>
      </c>
      <c r="D371">
        <v>60.7</v>
      </c>
      <c r="E371">
        <v>87</v>
      </c>
      <c r="F371">
        <v>44</v>
      </c>
      <c r="G371" t="str">
        <f t="shared" si="40"/>
        <v>PASS</v>
      </c>
      <c r="H371" t="str">
        <f t="shared" si="41"/>
        <v>E</v>
      </c>
      <c r="I371" t="str">
        <f t="shared" si="42"/>
        <v>Average</v>
      </c>
      <c r="J371">
        <f t="shared" si="43"/>
        <v>95</v>
      </c>
      <c r="K371">
        <f t="shared" si="44"/>
        <v>55.98</v>
      </c>
      <c r="L371">
        <f t="shared" si="45"/>
        <v>20</v>
      </c>
      <c r="M371">
        <f t="shared" si="46"/>
        <v>462</v>
      </c>
      <c r="N371">
        <f t="shared" si="47"/>
        <v>38</v>
      </c>
    </row>
    <row r="372" spans="1:14">
      <c r="A372" t="s">
        <v>378</v>
      </c>
      <c r="B372" t="s">
        <v>7</v>
      </c>
      <c r="C372">
        <v>19</v>
      </c>
      <c r="D372">
        <v>80.8</v>
      </c>
      <c r="E372">
        <v>91</v>
      </c>
      <c r="F372">
        <v>59</v>
      </c>
      <c r="G372" t="str">
        <f t="shared" si="40"/>
        <v>PASS</v>
      </c>
      <c r="H372" t="str">
        <f t="shared" si="41"/>
        <v>D</v>
      </c>
      <c r="I372" t="str">
        <f t="shared" si="42"/>
        <v>Average</v>
      </c>
      <c r="J372">
        <f t="shared" si="43"/>
        <v>95</v>
      </c>
      <c r="K372">
        <f t="shared" si="44"/>
        <v>55.98</v>
      </c>
      <c r="L372">
        <f t="shared" si="45"/>
        <v>20</v>
      </c>
      <c r="M372">
        <f t="shared" si="46"/>
        <v>462</v>
      </c>
      <c r="N372">
        <f t="shared" si="47"/>
        <v>38</v>
      </c>
    </row>
    <row r="373" spans="1:14">
      <c r="A373" t="s">
        <v>379</v>
      </c>
      <c r="B373" t="s">
        <v>7</v>
      </c>
      <c r="C373">
        <v>17</v>
      </c>
      <c r="D373">
        <v>56.9</v>
      </c>
      <c r="E373">
        <v>78</v>
      </c>
      <c r="F373">
        <v>63</v>
      </c>
      <c r="G373" t="str">
        <f t="shared" si="40"/>
        <v>PASS</v>
      </c>
      <c r="H373" t="str">
        <f t="shared" si="41"/>
        <v>C</v>
      </c>
      <c r="I373" t="str">
        <f t="shared" si="42"/>
        <v>Good</v>
      </c>
      <c r="J373">
        <f t="shared" si="43"/>
        <v>95</v>
      </c>
      <c r="K373">
        <f t="shared" si="44"/>
        <v>55.98</v>
      </c>
      <c r="L373">
        <f t="shared" si="45"/>
        <v>20</v>
      </c>
      <c r="M373">
        <f t="shared" si="46"/>
        <v>462</v>
      </c>
      <c r="N373">
        <f t="shared" si="47"/>
        <v>38</v>
      </c>
    </row>
    <row r="374" spans="1:14">
      <c r="A374" t="s">
        <v>380</v>
      </c>
      <c r="B374" t="s">
        <v>9</v>
      </c>
      <c r="C374">
        <v>18</v>
      </c>
      <c r="D374">
        <v>89.1</v>
      </c>
      <c r="E374">
        <v>64</v>
      </c>
      <c r="F374">
        <v>58</v>
      </c>
      <c r="G374" t="str">
        <f t="shared" si="40"/>
        <v>PASS</v>
      </c>
      <c r="H374" t="str">
        <f t="shared" si="41"/>
        <v>D</v>
      </c>
      <c r="I374" t="str">
        <f t="shared" si="42"/>
        <v>Average</v>
      </c>
      <c r="J374">
        <f t="shared" si="43"/>
        <v>95</v>
      </c>
      <c r="K374">
        <f t="shared" si="44"/>
        <v>55.98</v>
      </c>
      <c r="L374">
        <f t="shared" si="45"/>
        <v>20</v>
      </c>
      <c r="M374">
        <f t="shared" si="46"/>
        <v>462</v>
      </c>
      <c r="N374">
        <f t="shared" si="47"/>
        <v>38</v>
      </c>
    </row>
    <row r="375" spans="1:14">
      <c r="A375" t="s">
        <v>381</v>
      </c>
      <c r="B375" t="s">
        <v>7</v>
      </c>
      <c r="C375">
        <v>17</v>
      </c>
      <c r="D375">
        <v>61</v>
      </c>
      <c r="E375">
        <v>75</v>
      </c>
      <c r="F375">
        <v>73</v>
      </c>
      <c r="G375" t="str">
        <f t="shared" si="40"/>
        <v>PASS</v>
      </c>
      <c r="H375" t="str">
        <f t="shared" si="41"/>
        <v>C</v>
      </c>
      <c r="I375" t="str">
        <f t="shared" si="42"/>
        <v>Good</v>
      </c>
      <c r="J375">
        <f t="shared" si="43"/>
        <v>95</v>
      </c>
      <c r="K375">
        <f t="shared" si="44"/>
        <v>55.98</v>
      </c>
      <c r="L375">
        <f t="shared" si="45"/>
        <v>20</v>
      </c>
      <c r="M375">
        <f t="shared" si="46"/>
        <v>462</v>
      </c>
      <c r="N375">
        <f t="shared" si="47"/>
        <v>38</v>
      </c>
    </row>
    <row r="376" spans="1:14">
      <c r="A376" t="s">
        <v>382</v>
      </c>
      <c r="B376" t="s">
        <v>7</v>
      </c>
      <c r="C376">
        <v>16</v>
      </c>
      <c r="D376">
        <v>62.4</v>
      </c>
      <c r="E376">
        <v>58</v>
      </c>
      <c r="F376">
        <v>40</v>
      </c>
      <c r="G376" t="str">
        <f t="shared" si="40"/>
        <v>PASS</v>
      </c>
      <c r="H376" t="str">
        <f t="shared" si="41"/>
        <v>E</v>
      </c>
      <c r="I376" t="str">
        <f t="shared" si="42"/>
        <v>Average</v>
      </c>
      <c r="J376">
        <f t="shared" si="43"/>
        <v>95</v>
      </c>
      <c r="K376">
        <f t="shared" si="44"/>
        <v>55.98</v>
      </c>
      <c r="L376">
        <f t="shared" si="45"/>
        <v>20</v>
      </c>
      <c r="M376">
        <f t="shared" si="46"/>
        <v>462</v>
      </c>
      <c r="N376">
        <f t="shared" si="47"/>
        <v>38</v>
      </c>
    </row>
    <row r="377" spans="1:14">
      <c r="A377" t="s">
        <v>383</v>
      </c>
      <c r="B377" t="s">
        <v>9</v>
      </c>
      <c r="C377">
        <v>17</v>
      </c>
      <c r="D377">
        <v>99.6</v>
      </c>
      <c r="E377">
        <v>70</v>
      </c>
      <c r="F377">
        <v>95</v>
      </c>
      <c r="G377" t="str">
        <f t="shared" si="40"/>
        <v>PASS</v>
      </c>
      <c r="H377" t="str">
        <f t="shared" si="41"/>
        <v>A</v>
      </c>
      <c r="I377" t="str">
        <f t="shared" si="42"/>
        <v>Excellent</v>
      </c>
      <c r="J377">
        <f t="shared" si="43"/>
        <v>95</v>
      </c>
      <c r="K377">
        <f t="shared" si="44"/>
        <v>55.98</v>
      </c>
      <c r="L377">
        <f t="shared" si="45"/>
        <v>20</v>
      </c>
      <c r="M377">
        <f t="shared" si="46"/>
        <v>462</v>
      </c>
      <c r="N377">
        <f t="shared" si="47"/>
        <v>38</v>
      </c>
    </row>
    <row r="378" spans="1:14">
      <c r="A378" t="s">
        <v>384</v>
      </c>
      <c r="B378" t="s">
        <v>9</v>
      </c>
      <c r="C378">
        <v>19</v>
      </c>
      <c r="D378">
        <v>85.2</v>
      </c>
      <c r="E378">
        <v>93</v>
      </c>
      <c r="F378">
        <v>49</v>
      </c>
      <c r="G378" t="str">
        <f t="shared" si="40"/>
        <v>PASS</v>
      </c>
      <c r="H378" t="str">
        <f t="shared" si="41"/>
        <v>E</v>
      </c>
      <c r="I378" t="str">
        <f t="shared" si="42"/>
        <v>Average</v>
      </c>
      <c r="J378">
        <f t="shared" si="43"/>
        <v>95</v>
      </c>
      <c r="K378">
        <f t="shared" si="44"/>
        <v>55.98</v>
      </c>
      <c r="L378">
        <f t="shared" si="45"/>
        <v>20</v>
      </c>
      <c r="M378">
        <f t="shared" si="46"/>
        <v>462</v>
      </c>
      <c r="N378">
        <f t="shared" si="47"/>
        <v>38</v>
      </c>
    </row>
    <row r="379" spans="1:14">
      <c r="A379" t="s">
        <v>385</v>
      </c>
      <c r="B379" t="s">
        <v>9</v>
      </c>
      <c r="C379">
        <v>16</v>
      </c>
      <c r="D379">
        <v>51.9</v>
      </c>
      <c r="E379">
        <v>32</v>
      </c>
      <c r="F379">
        <v>48</v>
      </c>
      <c r="G379" t="str">
        <f t="shared" si="40"/>
        <v>PASS</v>
      </c>
      <c r="H379" t="str">
        <f t="shared" si="41"/>
        <v>E</v>
      </c>
      <c r="I379" t="str">
        <f t="shared" si="42"/>
        <v>Average</v>
      </c>
      <c r="J379">
        <f t="shared" si="43"/>
        <v>95</v>
      </c>
      <c r="K379">
        <f t="shared" si="44"/>
        <v>55.98</v>
      </c>
      <c r="L379">
        <f t="shared" si="45"/>
        <v>20</v>
      </c>
      <c r="M379">
        <f t="shared" si="46"/>
        <v>462</v>
      </c>
      <c r="N379">
        <f t="shared" si="47"/>
        <v>38</v>
      </c>
    </row>
    <row r="380" spans="1:14">
      <c r="A380" t="s">
        <v>386</v>
      </c>
      <c r="B380" t="s">
        <v>9</v>
      </c>
      <c r="C380">
        <v>15</v>
      </c>
      <c r="D380">
        <v>95.9</v>
      </c>
      <c r="E380">
        <v>52</v>
      </c>
      <c r="F380">
        <v>67</v>
      </c>
      <c r="G380" t="str">
        <f t="shared" si="40"/>
        <v>PASS</v>
      </c>
      <c r="H380" t="str">
        <f t="shared" si="41"/>
        <v>C</v>
      </c>
      <c r="I380" t="str">
        <f t="shared" si="42"/>
        <v>Good</v>
      </c>
      <c r="J380">
        <f t="shared" si="43"/>
        <v>95</v>
      </c>
      <c r="K380">
        <f t="shared" si="44"/>
        <v>55.98</v>
      </c>
      <c r="L380">
        <f t="shared" si="45"/>
        <v>20</v>
      </c>
      <c r="M380">
        <f t="shared" si="46"/>
        <v>462</v>
      </c>
      <c r="N380">
        <f t="shared" si="47"/>
        <v>38</v>
      </c>
    </row>
    <row r="381" spans="1:14">
      <c r="A381" t="s">
        <v>387</v>
      </c>
      <c r="B381" t="s">
        <v>9</v>
      </c>
      <c r="C381">
        <v>15</v>
      </c>
      <c r="D381">
        <v>57.4</v>
      </c>
      <c r="E381">
        <v>39</v>
      </c>
      <c r="F381">
        <v>24</v>
      </c>
      <c r="G381" t="str">
        <f t="shared" si="40"/>
        <v>FAIL</v>
      </c>
      <c r="H381" t="str">
        <f t="shared" si="41"/>
        <v>E</v>
      </c>
      <c r="I381" t="str">
        <f t="shared" si="42"/>
        <v>Poor</v>
      </c>
      <c r="J381">
        <f t="shared" si="43"/>
        <v>95</v>
      </c>
      <c r="K381">
        <f t="shared" si="44"/>
        <v>55.98</v>
      </c>
      <c r="L381">
        <f t="shared" si="45"/>
        <v>20</v>
      </c>
      <c r="M381">
        <f t="shared" si="46"/>
        <v>462</v>
      </c>
      <c r="N381">
        <f t="shared" si="47"/>
        <v>38</v>
      </c>
    </row>
    <row r="382" spans="1:14">
      <c r="A382" t="s">
        <v>388</v>
      </c>
      <c r="B382" t="s">
        <v>9</v>
      </c>
      <c r="C382">
        <v>19</v>
      </c>
      <c r="D382">
        <v>66.8</v>
      </c>
      <c r="E382">
        <v>85</v>
      </c>
      <c r="F382">
        <v>54</v>
      </c>
      <c r="G382" t="str">
        <f t="shared" si="40"/>
        <v>PASS</v>
      </c>
      <c r="H382" t="str">
        <f t="shared" si="41"/>
        <v>D</v>
      </c>
      <c r="I382" t="str">
        <f t="shared" si="42"/>
        <v>Average</v>
      </c>
      <c r="J382">
        <f t="shared" si="43"/>
        <v>95</v>
      </c>
      <c r="K382">
        <f t="shared" si="44"/>
        <v>55.98</v>
      </c>
      <c r="L382">
        <f t="shared" si="45"/>
        <v>20</v>
      </c>
      <c r="M382">
        <f t="shared" si="46"/>
        <v>462</v>
      </c>
      <c r="N382">
        <f t="shared" si="47"/>
        <v>38</v>
      </c>
    </row>
    <row r="383" spans="1:14">
      <c r="A383" t="s">
        <v>389</v>
      </c>
      <c r="B383" t="s">
        <v>9</v>
      </c>
      <c r="C383">
        <v>17</v>
      </c>
      <c r="D383">
        <v>85.4</v>
      </c>
      <c r="E383">
        <v>52</v>
      </c>
      <c r="F383">
        <v>43</v>
      </c>
      <c r="G383" t="str">
        <f t="shared" si="40"/>
        <v>PASS</v>
      </c>
      <c r="H383" t="str">
        <f t="shared" si="41"/>
        <v>E</v>
      </c>
      <c r="I383" t="str">
        <f t="shared" si="42"/>
        <v>Average</v>
      </c>
      <c r="J383">
        <f t="shared" si="43"/>
        <v>95</v>
      </c>
      <c r="K383">
        <f t="shared" si="44"/>
        <v>55.98</v>
      </c>
      <c r="L383">
        <f t="shared" si="45"/>
        <v>20</v>
      </c>
      <c r="M383">
        <f t="shared" si="46"/>
        <v>462</v>
      </c>
      <c r="N383">
        <f t="shared" si="47"/>
        <v>38</v>
      </c>
    </row>
    <row r="384" spans="1:14">
      <c r="A384" t="s">
        <v>390</v>
      </c>
      <c r="B384" t="s">
        <v>9</v>
      </c>
      <c r="C384">
        <v>17</v>
      </c>
      <c r="D384">
        <v>58.9</v>
      </c>
      <c r="E384">
        <v>53</v>
      </c>
      <c r="F384">
        <v>41</v>
      </c>
      <c r="G384" t="str">
        <f t="shared" si="40"/>
        <v>PASS</v>
      </c>
      <c r="H384" t="str">
        <f t="shared" si="41"/>
        <v>E</v>
      </c>
      <c r="I384" t="str">
        <f t="shared" si="42"/>
        <v>Average</v>
      </c>
      <c r="J384">
        <f t="shared" si="43"/>
        <v>95</v>
      </c>
      <c r="K384">
        <f t="shared" si="44"/>
        <v>55.98</v>
      </c>
      <c r="L384">
        <f t="shared" si="45"/>
        <v>20</v>
      </c>
      <c r="M384">
        <f t="shared" si="46"/>
        <v>462</v>
      </c>
      <c r="N384">
        <f t="shared" si="47"/>
        <v>38</v>
      </c>
    </row>
    <row r="385" spans="1:14">
      <c r="A385" t="s">
        <v>391</v>
      </c>
      <c r="B385" t="s">
        <v>9</v>
      </c>
      <c r="C385">
        <v>19</v>
      </c>
      <c r="D385">
        <v>82</v>
      </c>
      <c r="E385">
        <v>72</v>
      </c>
      <c r="F385">
        <v>60</v>
      </c>
      <c r="G385" t="str">
        <f t="shared" si="40"/>
        <v>PASS</v>
      </c>
      <c r="H385" t="str">
        <f t="shared" si="41"/>
        <v>C</v>
      </c>
      <c r="I385" t="str">
        <f t="shared" si="42"/>
        <v>Good</v>
      </c>
      <c r="J385">
        <f t="shared" si="43"/>
        <v>95</v>
      </c>
      <c r="K385">
        <f t="shared" si="44"/>
        <v>55.98</v>
      </c>
      <c r="L385">
        <f t="shared" si="45"/>
        <v>20</v>
      </c>
      <c r="M385">
        <f t="shared" si="46"/>
        <v>462</v>
      </c>
      <c r="N385">
        <f t="shared" si="47"/>
        <v>38</v>
      </c>
    </row>
    <row r="386" spans="1:14">
      <c r="A386" t="s">
        <v>392</v>
      </c>
      <c r="B386" t="s">
        <v>7</v>
      </c>
      <c r="C386">
        <v>16</v>
      </c>
      <c r="D386">
        <v>99.1</v>
      </c>
      <c r="E386">
        <v>87</v>
      </c>
      <c r="F386">
        <v>51</v>
      </c>
      <c r="G386" t="str">
        <f t="shared" ref="G386:G449" si="48">IF(F386&gt;33,"PASS","FAIL")</f>
        <v>PASS</v>
      </c>
      <c r="H386" t="str">
        <f t="shared" ref="H386:H449" si="49">IF(F386&gt;90,"A",IF(F386&gt;=80,"B",IF(F386&gt;=60,"C",IF(F386&gt;=50,"D","E"))))</f>
        <v>D</v>
      </c>
      <c r="I386" t="str">
        <f t="shared" ref="I386:I449" si="50">IF(F386&gt;=80,"Excellent",IF(F386&gt;=60,"Good",IF(F386&gt;=40,"Average","Poor")))</f>
        <v>Average</v>
      </c>
      <c r="J386">
        <f t="shared" ref="J386:J449" si="51">MAX(F:F)</f>
        <v>95</v>
      </c>
      <c r="K386">
        <f t="shared" ref="K386:K449" si="52">AVERAGE(F:F)</f>
        <v>55.98</v>
      </c>
      <c r="L386">
        <f t="shared" ref="L386:L449" si="53">MIN(F:F)</f>
        <v>20</v>
      </c>
      <c r="M386">
        <f t="shared" ref="M386:M449" si="54">COUNTIF(G:G,"pass")</f>
        <v>462</v>
      </c>
      <c r="N386">
        <f t="shared" ref="N386:N449" si="55">COUNTIF(G:G,"fail")</f>
        <v>38</v>
      </c>
    </row>
    <row r="387" spans="1:14">
      <c r="A387" t="s">
        <v>393</v>
      </c>
      <c r="B387" t="s">
        <v>9</v>
      </c>
      <c r="C387">
        <v>16</v>
      </c>
      <c r="D387">
        <v>84.7</v>
      </c>
      <c r="E387">
        <v>30</v>
      </c>
      <c r="F387">
        <v>30</v>
      </c>
      <c r="G387" t="str">
        <f t="shared" si="48"/>
        <v>FAIL</v>
      </c>
      <c r="H387" t="str">
        <f t="shared" si="49"/>
        <v>E</v>
      </c>
      <c r="I387" t="str">
        <f t="shared" si="50"/>
        <v>Poor</v>
      </c>
      <c r="J387">
        <f t="shared" si="51"/>
        <v>95</v>
      </c>
      <c r="K387">
        <f t="shared" si="52"/>
        <v>55.98</v>
      </c>
      <c r="L387">
        <f t="shared" si="53"/>
        <v>20</v>
      </c>
      <c r="M387">
        <f t="shared" si="54"/>
        <v>462</v>
      </c>
      <c r="N387">
        <f t="shared" si="55"/>
        <v>38</v>
      </c>
    </row>
    <row r="388" spans="1:14">
      <c r="A388" t="s">
        <v>394</v>
      </c>
      <c r="B388" t="s">
        <v>9</v>
      </c>
      <c r="C388">
        <v>18</v>
      </c>
      <c r="D388">
        <v>71</v>
      </c>
      <c r="E388">
        <v>78</v>
      </c>
      <c r="F388">
        <v>70</v>
      </c>
      <c r="G388" t="str">
        <f t="shared" si="48"/>
        <v>PASS</v>
      </c>
      <c r="H388" t="str">
        <f t="shared" si="49"/>
        <v>C</v>
      </c>
      <c r="I388" t="str">
        <f t="shared" si="50"/>
        <v>Good</v>
      </c>
      <c r="J388">
        <f t="shared" si="51"/>
        <v>95</v>
      </c>
      <c r="K388">
        <f t="shared" si="52"/>
        <v>55.98</v>
      </c>
      <c r="L388">
        <f t="shared" si="53"/>
        <v>20</v>
      </c>
      <c r="M388">
        <f t="shared" si="54"/>
        <v>462</v>
      </c>
      <c r="N388">
        <f t="shared" si="55"/>
        <v>38</v>
      </c>
    </row>
    <row r="389" spans="1:14">
      <c r="A389" t="s">
        <v>395</v>
      </c>
      <c r="B389" t="s">
        <v>9</v>
      </c>
      <c r="C389">
        <v>15</v>
      </c>
      <c r="D389">
        <v>74</v>
      </c>
      <c r="E389">
        <v>87</v>
      </c>
      <c r="F389">
        <v>68</v>
      </c>
      <c r="G389" t="str">
        <f t="shared" si="48"/>
        <v>PASS</v>
      </c>
      <c r="H389" t="str">
        <f t="shared" si="49"/>
        <v>C</v>
      </c>
      <c r="I389" t="str">
        <f t="shared" si="50"/>
        <v>Good</v>
      </c>
      <c r="J389">
        <f t="shared" si="51"/>
        <v>95</v>
      </c>
      <c r="K389">
        <f t="shared" si="52"/>
        <v>55.98</v>
      </c>
      <c r="L389">
        <f t="shared" si="53"/>
        <v>20</v>
      </c>
      <c r="M389">
        <f t="shared" si="54"/>
        <v>462</v>
      </c>
      <c r="N389">
        <f t="shared" si="55"/>
        <v>38</v>
      </c>
    </row>
    <row r="390" spans="1:14">
      <c r="A390" t="s">
        <v>396</v>
      </c>
      <c r="B390" t="s">
        <v>7</v>
      </c>
      <c r="C390">
        <v>17</v>
      </c>
      <c r="D390">
        <v>65.900000000000006</v>
      </c>
      <c r="E390">
        <v>51</v>
      </c>
      <c r="F390">
        <v>29</v>
      </c>
      <c r="G390" t="str">
        <f t="shared" si="48"/>
        <v>FAIL</v>
      </c>
      <c r="H390" t="str">
        <f t="shared" si="49"/>
        <v>E</v>
      </c>
      <c r="I390" t="str">
        <f t="shared" si="50"/>
        <v>Poor</v>
      </c>
      <c r="J390">
        <f t="shared" si="51"/>
        <v>95</v>
      </c>
      <c r="K390">
        <f t="shared" si="52"/>
        <v>55.98</v>
      </c>
      <c r="L390">
        <f t="shared" si="53"/>
        <v>20</v>
      </c>
      <c r="M390">
        <f t="shared" si="54"/>
        <v>462</v>
      </c>
      <c r="N390">
        <f t="shared" si="55"/>
        <v>38</v>
      </c>
    </row>
    <row r="391" spans="1:14">
      <c r="A391" t="s">
        <v>397</v>
      </c>
      <c r="B391" t="s">
        <v>7</v>
      </c>
      <c r="C391">
        <v>15</v>
      </c>
      <c r="D391">
        <v>97.1</v>
      </c>
      <c r="E391">
        <v>33</v>
      </c>
      <c r="F391">
        <v>62</v>
      </c>
      <c r="G391" t="str">
        <f t="shared" si="48"/>
        <v>PASS</v>
      </c>
      <c r="H391" t="str">
        <f t="shared" si="49"/>
        <v>C</v>
      </c>
      <c r="I391" t="str">
        <f t="shared" si="50"/>
        <v>Good</v>
      </c>
      <c r="J391">
        <f t="shared" si="51"/>
        <v>95</v>
      </c>
      <c r="K391">
        <f t="shared" si="52"/>
        <v>55.98</v>
      </c>
      <c r="L391">
        <f t="shared" si="53"/>
        <v>20</v>
      </c>
      <c r="M391">
        <f t="shared" si="54"/>
        <v>462</v>
      </c>
      <c r="N391">
        <f t="shared" si="55"/>
        <v>38</v>
      </c>
    </row>
    <row r="392" spans="1:14">
      <c r="A392" t="s">
        <v>398</v>
      </c>
      <c r="B392" t="s">
        <v>7</v>
      </c>
      <c r="C392">
        <v>19</v>
      </c>
      <c r="D392">
        <v>71.7</v>
      </c>
      <c r="E392">
        <v>56</v>
      </c>
      <c r="F392">
        <v>68</v>
      </c>
      <c r="G392" t="str">
        <f t="shared" si="48"/>
        <v>PASS</v>
      </c>
      <c r="H392" t="str">
        <f t="shared" si="49"/>
        <v>C</v>
      </c>
      <c r="I392" t="str">
        <f t="shared" si="50"/>
        <v>Good</v>
      </c>
      <c r="J392">
        <f t="shared" si="51"/>
        <v>95</v>
      </c>
      <c r="K392">
        <f t="shared" si="52"/>
        <v>55.98</v>
      </c>
      <c r="L392">
        <f t="shared" si="53"/>
        <v>20</v>
      </c>
      <c r="M392">
        <f t="shared" si="54"/>
        <v>462</v>
      </c>
      <c r="N392">
        <f t="shared" si="55"/>
        <v>38</v>
      </c>
    </row>
    <row r="393" spans="1:14">
      <c r="A393" t="s">
        <v>399</v>
      </c>
      <c r="B393" t="s">
        <v>9</v>
      </c>
      <c r="C393">
        <v>19</v>
      </c>
      <c r="D393">
        <v>96.3</v>
      </c>
      <c r="E393">
        <v>68</v>
      </c>
      <c r="F393">
        <v>71</v>
      </c>
      <c r="G393" t="str">
        <f t="shared" si="48"/>
        <v>PASS</v>
      </c>
      <c r="H393" t="str">
        <f t="shared" si="49"/>
        <v>C</v>
      </c>
      <c r="I393" t="str">
        <f t="shared" si="50"/>
        <v>Good</v>
      </c>
      <c r="J393">
        <f t="shared" si="51"/>
        <v>95</v>
      </c>
      <c r="K393">
        <f t="shared" si="52"/>
        <v>55.98</v>
      </c>
      <c r="L393">
        <f t="shared" si="53"/>
        <v>20</v>
      </c>
      <c r="M393">
        <f t="shared" si="54"/>
        <v>462</v>
      </c>
      <c r="N393">
        <f t="shared" si="55"/>
        <v>38</v>
      </c>
    </row>
    <row r="394" spans="1:14">
      <c r="A394" t="s">
        <v>400</v>
      </c>
      <c r="B394" t="s">
        <v>7</v>
      </c>
      <c r="C394">
        <v>15</v>
      </c>
      <c r="D394">
        <v>78.599999999999994</v>
      </c>
      <c r="E394">
        <v>76</v>
      </c>
      <c r="F394">
        <v>44</v>
      </c>
      <c r="G394" t="str">
        <f t="shared" si="48"/>
        <v>PASS</v>
      </c>
      <c r="H394" t="str">
        <f t="shared" si="49"/>
        <v>E</v>
      </c>
      <c r="I394" t="str">
        <f t="shared" si="50"/>
        <v>Average</v>
      </c>
      <c r="J394">
        <f t="shared" si="51"/>
        <v>95</v>
      </c>
      <c r="K394">
        <f t="shared" si="52"/>
        <v>55.98</v>
      </c>
      <c r="L394">
        <f t="shared" si="53"/>
        <v>20</v>
      </c>
      <c r="M394">
        <f t="shared" si="54"/>
        <v>462</v>
      </c>
      <c r="N394">
        <f t="shared" si="55"/>
        <v>38</v>
      </c>
    </row>
    <row r="395" spans="1:14">
      <c r="A395" t="s">
        <v>401</v>
      </c>
      <c r="B395" t="s">
        <v>9</v>
      </c>
      <c r="C395">
        <v>15</v>
      </c>
      <c r="D395">
        <v>91.2</v>
      </c>
      <c r="E395">
        <v>42</v>
      </c>
      <c r="F395">
        <v>37</v>
      </c>
      <c r="G395" t="str">
        <f t="shared" si="48"/>
        <v>PASS</v>
      </c>
      <c r="H395" t="str">
        <f t="shared" si="49"/>
        <v>E</v>
      </c>
      <c r="I395" t="str">
        <f t="shared" si="50"/>
        <v>Poor</v>
      </c>
      <c r="J395">
        <f t="shared" si="51"/>
        <v>95</v>
      </c>
      <c r="K395">
        <f t="shared" si="52"/>
        <v>55.98</v>
      </c>
      <c r="L395">
        <f t="shared" si="53"/>
        <v>20</v>
      </c>
      <c r="M395">
        <f t="shared" si="54"/>
        <v>462</v>
      </c>
      <c r="N395">
        <f t="shared" si="55"/>
        <v>38</v>
      </c>
    </row>
    <row r="396" spans="1:14">
      <c r="A396" t="s">
        <v>402</v>
      </c>
      <c r="B396" t="s">
        <v>7</v>
      </c>
      <c r="C396">
        <v>16</v>
      </c>
      <c r="D396">
        <v>64.599999999999994</v>
      </c>
      <c r="E396">
        <v>69</v>
      </c>
      <c r="F396">
        <v>76</v>
      </c>
      <c r="G396" t="str">
        <f t="shared" si="48"/>
        <v>PASS</v>
      </c>
      <c r="H396" t="str">
        <f t="shared" si="49"/>
        <v>C</v>
      </c>
      <c r="I396" t="str">
        <f t="shared" si="50"/>
        <v>Good</v>
      </c>
      <c r="J396">
        <f t="shared" si="51"/>
        <v>95</v>
      </c>
      <c r="K396">
        <f t="shared" si="52"/>
        <v>55.98</v>
      </c>
      <c r="L396">
        <f t="shared" si="53"/>
        <v>20</v>
      </c>
      <c r="M396">
        <f t="shared" si="54"/>
        <v>462</v>
      </c>
      <c r="N396">
        <f t="shared" si="55"/>
        <v>38</v>
      </c>
    </row>
    <row r="397" spans="1:14">
      <c r="A397" t="s">
        <v>403</v>
      </c>
      <c r="B397" t="s">
        <v>9</v>
      </c>
      <c r="C397">
        <v>18</v>
      </c>
      <c r="D397">
        <v>94.7</v>
      </c>
      <c r="E397">
        <v>53</v>
      </c>
      <c r="F397">
        <v>60</v>
      </c>
      <c r="G397" t="str">
        <f t="shared" si="48"/>
        <v>PASS</v>
      </c>
      <c r="H397" t="str">
        <f t="shared" si="49"/>
        <v>C</v>
      </c>
      <c r="I397" t="str">
        <f t="shared" si="50"/>
        <v>Good</v>
      </c>
      <c r="J397">
        <f t="shared" si="51"/>
        <v>95</v>
      </c>
      <c r="K397">
        <f t="shared" si="52"/>
        <v>55.98</v>
      </c>
      <c r="L397">
        <f t="shared" si="53"/>
        <v>20</v>
      </c>
      <c r="M397">
        <f t="shared" si="54"/>
        <v>462</v>
      </c>
      <c r="N397">
        <f t="shared" si="55"/>
        <v>38</v>
      </c>
    </row>
    <row r="398" spans="1:14">
      <c r="A398" t="s">
        <v>404</v>
      </c>
      <c r="B398" t="s">
        <v>9</v>
      </c>
      <c r="C398">
        <v>17</v>
      </c>
      <c r="D398">
        <v>72.3</v>
      </c>
      <c r="E398">
        <v>63</v>
      </c>
      <c r="F398">
        <v>36</v>
      </c>
      <c r="G398" t="str">
        <f t="shared" si="48"/>
        <v>PASS</v>
      </c>
      <c r="H398" t="str">
        <f t="shared" si="49"/>
        <v>E</v>
      </c>
      <c r="I398" t="str">
        <f t="shared" si="50"/>
        <v>Poor</v>
      </c>
      <c r="J398">
        <f t="shared" si="51"/>
        <v>95</v>
      </c>
      <c r="K398">
        <f t="shared" si="52"/>
        <v>55.98</v>
      </c>
      <c r="L398">
        <f t="shared" si="53"/>
        <v>20</v>
      </c>
      <c r="M398">
        <f t="shared" si="54"/>
        <v>462</v>
      </c>
      <c r="N398">
        <f t="shared" si="55"/>
        <v>38</v>
      </c>
    </row>
    <row r="399" spans="1:14">
      <c r="A399" t="s">
        <v>405</v>
      </c>
      <c r="B399" t="s">
        <v>9</v>
      </c>
      <c r="C399">
        <v>19</v>
      </c>
      <c r="D399">
        <v>57.6</v>
      </c>
      <c r="E399">
        <v>82</v>
      </c>
      <c r="F399">
        <v>47</v>
      </c>
      <c r="G399" t="str">
        <f t="shared" si="48"/>
        <v>PASS</v>
      </c>
      <c r="H399" t="str">
        <f t="shared" si="49"/>
        <v>E</v>
      </c>
      <c r="I399" t="str">
        <f t="shared" si="50"/>
        <v>Average</v>
      </c>
      <c r="J399">
        <f t="shared" si="51"/>
        <v>95</v>
      </c>
      <c r="K399">
        <f t="shared" si="52"/>
        <v>55.98</v>
      </c>
      <c r="L399">
        <f t="shared" si="53"/>
        <v>20</v>
      </c>
      <c r="M399">
        <f t="shared" si="54"/>
        <v>462</v>
      </c>
      <c r="N399">
        <f t="shared" si="55"/>
        <v>38</v>
      </c>
    </row>
    <row r="400" spans="1:14">
      <c r="A400" t="s">
        <v>406</v>
      </c>
      <c r="B400" t="s">
        <v>7</v>
      </c>
      <c r="C400">
        <v>19</v>
      </c>
      <c r="D400">
        <v>92</v>
      </c>
      <c r="E400">
        <v>60</v>
      </c>
      <c r="F400">
        <v>44</v>
      </c>
      <c r="G400" t="str">
        <f t="shared" si="48"/>
        <v>PASS</v>
      </c>
      <c r="H400" t="str">
        <f t="shared" si="49"/>
        <v>E</v>
      </c>
      <c r="I400" t="str">
        <f t="shared" si="50"/>
        <v>Average</v>
      </c>
      <c r="J400">
        <f t="shared" si="51"/>
        <v>95</v>
      </c>
      <c r="K400">
        <f t="shared" si="52"/>
        <v>55.98</v>
      </c>
      <c r="L400">
        <f t="shared" si="53"/>
        <v>20</v>
      </c>
      <c r="M400">
        <f t="shared" si="54"/>
        <v>462</v>
      </c>
      <c r="N400">
        <f t="shared" si="55"/>
        <v>38</v>
      </c>
    </row>
    <row r="401" spans="1:14">
      <c r="A401" t="s">
        <v>407</v>
      </c>
      <c r="B401" t="s">
        <v>9</v>
      </c>
      <c r="C401">
        <v>15</v>
      </c>
      <c r="D401">
        <v>95.1</v>
      </c>
      <c r="E401">
        <v>87</v>
      </c>
      <c r="F401">
        <v>56</v>
      </c>
      <c r="G401" t="str">
        <f t="shared" si="48"/>
        <v>PASS</v>
      </c>
      <c r="H401" t="str">
        <f t="shared" si="49"/>
        <v>D</v>
      </c>
      <c r="I401" t="str">
        <f t="shared" si="50"/>
        <v>Average</v>
      </c>
      <c r="J401">
        <f t="shared" si="51"/>
        <v>95</v>
      </c>
      <c r="K401">
        <f t="shared" si="52"/>
        <v>55.98</v>
      </c>
      <c r="L401">
        <f t="shared" si="53"/>
        <v>20</v>
      </c>
      <c r="M401">
        <f t="shared" si="54"/>
        <v>462</v>
      </c>
      <c r="N401">
        <f t="shared" si="55"/>
        <v>38</v>
      </c>
    </row>
    <row r="402" spans="1:14">
      <c r="A402" t="s">
        <v>408</v>
      </c>
      <c r="B402" t="s">
        <v>7</v>
      </c>
      <c r="C402">
        <v>16</v>
      </c>
      <c r="D402">
        <v>59.6</v>
      </c>
      <c r="E402">
        <v>85</v>
      </c>
      <c r="F402">
        <v>66</v>
      </c>
      <c r="G402" t="str">
        <f t="shared" si="48"/>
        <v>PASS</v>
      </c>
      <c r="H402" t="str">
        <f t="shared" si="49"/>
        <v>C</v>
      </c>
      <c r="I402" t="str">
        <f t="shared" si="50"/>
        <v>Good</v>
      </c>
      <c r="J402">
        <f t="shared" si="51"/>
        <v>95</v>
      </c>
      <c r="K402">
        <f t="shared" si="52"/>
        <v>55.98</v>
      </c>
      <c r="L402">
        <f t="shared" si="53"/>
        <v>20</v>
      </c>
      <c r="M402">
        <f t="shared" si="54"/>
        <v>462</v>
      </c>
      <c r="N402">
        <f t="shared" si="55"/>
        <v>38</v>
      </c>
    </row>
    <row r="403" spans="1:14">
      <c r="A403" t="s">
        <v>409</v>
      </c>
      <c r="B403" t="s">
        <v>7</v>
      </c>
      <c r="C403">
        <v>19</v>
      </c>
      <c r="D403">
        <v>66</v>
      </c>
      <c r="E403">
        <v>80</v>
      </c>
      <c r="F403">
        <v>52</v>
      </c>
      <c r="G403" t="str">
        <f t="shared" si="48"/>
        <v>PASS</v>
      </c>
      <c r="H403" t="str">
        <f t="shared" si="49"/>
        <v>D</v>
      </c>
      <c r="I403" t="str">
        <f t="shared" si="50"/>
        <v>Average</v>
      </c>
      <c r="J403">
        <f t="shared" si="51"/>
        <v>95</v>
      </c>
      <c r="K403">
        <f t="shared" si="52"/>
        <v>55.98</v>
      </c>
      <c r="L403">
        <f t="shared" si="53"/>
        <v>20</v>
      </c>
      <c r="M403">
        <f t="shared" si="54"/>
        <v>462</v>
      </c>
      <c r="N403">
        <f t="shared" si="55"/>
        <v>38</v>
      </c>
    </row>
    <row r="404" spans="1:14">
      <c r="A404" t="s">
        <v>410</v>
      </c>
      <c r="B404" t="s">
        <v>9</v>
      </c>
      <c r="C404">
        <v>17</v>
      </c>
      <c r="D404">
        <v>72.900000000000006</v>
      </c>
      <c r="E404">
        <v>83</v>
      </c>
      <c r="F404">
        <v>54</v>
      </c>
      <c r="G404" t="str">
        <f t="shared" si="48"/>
        <v>PASS</v>
      </c>
      <c r="H404" t="str">
        <f t="shared" si="49"/>
        <v>D</v>
      </c>
      <c r="I404" t="str">
        <f t="shared" si="50"/>
        <v>Average</v>
      </c>
      <c r="J404">
        <f t="shared" si="51"/>
        <v>95</v>
      </c>
      <c r="K404">
        <f t="shared" si="52"/>
        <v>55.98</v>
      </c>
      <c r="L404">
        <f t="shared" si="53"/>
        <v>20</v>
      </c>
      <c r="M404">
        <f t="shared" si="54"/>
        <v>462</v>
      </c>
      <c r="N404">
        <f t="shared" si="55"/>
        <v>38</v>
      </c>
    </row>
    <row r="405" spans="1:14">
      <c r="A405" t="s">
        <v>411</v>
      </c>
      <c r="B405" t="s">
        <v>7</v>
      </c>
      <c r="C405">
        <v>19</v>
      </c>
      <c r="D405">
        <v>79.099999999999994</v>
      </c>
      <c r="E405">
        <v>66</v>
      </c>
      <c r="F405">
        <v>68</v>
      </c>
      <c r="G405" t="str">
        <f t="shared" si="48"/>
        <v>PASS</v>
      </c>
      <c r="H405" t="str">
        <f t="shared" si="49"/>
        <v>C</v>
      </c>
      <c r="I405" t="str">
        <f t="shared" si="50"/>
        <v>Good</v>
      </c>
      <c r="J405">
        <f t="shared" si="51"/>
        <v>95</v>
      </c>
      <c r="K405">
        <f t="shared" si="52"/>
        <v>55.98</v>
      </c>
      <c r="L405">
        <f t="shared" si="53"/>
        <v>20</v>
      </c>
      <c r="M405">
        <f t="shared" si="54"/>
        <v>462</v>
      </c>
      <c r="N405">
        <f t="shared" si="55"/>
        <v>38</v>
      </c>
    </row>
    <row r="406" spans="1:14">
      <c r="A406" t="s">
        <v>412</v>
      </c>
      <c r="B406" t="s">
        <v>9</v>
      </c>
      <c r="C406">
        <v>18</v>
      </c>
      <c r="D406">
        <v>69.2</v>
      </c>
      <c r="E406">
        <v>52</v>
      </c>
      <c r="F406">
        <v>39</v>
      </c>
      <c r="G406" t="str">
        <f t="shared" si="48"/>
        <v>PASS</v>
      </c>
      <c r="H406" t="str">
        <f t="shared" si="49"/>
        <v>E</v>
      </c>
      <c r="I406" t="str">
        <f t="shared" si="50"/>
        <v>Poor</v>
      </c>
      <c r="J406">
        <f t="shared" si="51"/>
        <v>95</v>
      </c>
      <c r="K406">
        <f t="shared" si="52"/>
        <v>55.98</v>
      </c>
      <c r="L406">
        <f t="shared" si="53"/>
        <v>20</v>
      </c>
      <c r="M406">
        <f t="shared" si="54"/>
        <v>462</v>
      </c>
      <c r="N406">
        <f t="shared" si="55"/>
        <v>38</v>
      </c>
    </row>
    <row r="407" spans="1:14">
      <c r="A407" t="s">
        <v>413</v>
      </c>
      <c r="B407" t="s">
        <v>9</v>
      </c>
      <c r="C407">
        <v>16</v>
      </c>
      <c r="D407">
        <v>80.400000000000006</v>
      </c>
      <c r="E407">
        <v>72</v>
      </c>
      <c r="F407">
        <v>77</v>
      </c>
      <c r="G407" t="str">
        <f t="shared" si="48"/>
        <v>PASS</v>
      </c>
      <c r="H407" t="str">
        <f t="shared" si="49"/>
        <v>C</v>
      </c>
      <c r="I407" t="str">
        <f t="shared" si="50"/>
        <v>Good</v>
      </c>
      <c r="J407">
        <f t="shared" si="51"/>
        <v>95</v>
      </c>
      <c r="K407">
        <f t="shared" si="52"/>
        <v>55.98</v>
      </c>
      <c r="L407">
        <f t="shared" si="53"/>
        <v>20</v>
      </c>
      <c r="M407">
        <f t="shared" si="54"/>
        <v>462</v>
      </c>
      <c r="N407">
        <f t="shared" si="55"/>
        <v>38</v>
      </c>
    </row>
    <row r="408" spans="1:14">
      <c r="A408" t="s">
        <v>414</v>
      </c>
      <c r="B408" t="s">
        <v>7</v>
      </c>
      <c r="C408">
        <v>15</v>
      </c>
      <c r="D408">
        <v>73.8</v>
      </c>
      <c r="E408">
        <v>73</v>
      </c>
      <c r="F408">
        <v>84</v>
      </c>
      <c r="G408" t="str">
        <f t="shared" si="48"/>
        <v>PASS</v>
      </c>
      <c r="H408" t="str">
        <f t="shared" si="49"/>
        <v>B</v>
      </c>
      <c r="I408" t="str">
        <f t="shared" si="50"/>
        <v>Excellent</v>
      </c>
      <c r="J408">
        <f t="shared" si="51"/>
        <v>95</v>
      </c>
      <c r="K408">
        <f t="shared" si="52"/>
        <v>55.98</v>
      </c>
      <c r="L408">
        <f t="shared" si="53"/>
        <v>20</v>
      </c>
      <c r="M408">
        <f t="shared" si="54"/>
        <v>462</v>
      </c>
      <c r="N408">
        <f t="shared" si="55"/>
        <v>38</v>
      </c>
    </row>
    <row r="409" spans="1:14">
      <c r="A409" t="s">
        <v>415</v>
      </c>
      <c r="B409" t="s">
        <v>9</v>
      </c>
      <c r="C409">
        <v>17</v>
      </c>
      <c r="D409">
        <v>92.1</v>
      </c>
      <c r="E409">
        <v>68</v>
      </c>
      <c r="F409">
        <v>64</v>
      </c>
      <c r="G409" t="str">
        <f t="shared" si="48"/>
        <v>PASS</v>
      </c>
      <c r="H409" t="str">
        <f t="shared" si="49"/>
        <v>C</v>
      </c>
      <c r="I409" t="str">
        <f t="shared" si="50"/>
        <v>Good</v>
      </c>
      <c r="J409">
        <f t="shared" si="51"/>
        <v>95</v>
      </c>
      <c r="K409">
        <f t="shared" si="52"/>
        <v>55.98</v>
      </c>
      <c r="L409">
        <f t="shared" si="53"/>
        <v>20</v>
      </c>
      <c r="M409">
        <f t="shared" si="54"/>
        <v>462</v>
      </c>
      <c r="N409">
        <f t="shared" si="55"/>
        <v>38</v>
      </c>
    </row>
    <row r="410" spans="1:14">
      <c r="A410" t="s">
        <v>416</v>
      </c>
      <c r="B410" t="s">
        <v>9</v>
      </c>
      <c r="C410">
        <v>17</v>
      </c>
      <c r="D410">
        <v>86.4</v>
      </c>
      <c r="E410">
        <v>86</v>
      </c>
      <c r="F410">
        <v>49</v>
      </c>
      <c r="G410" t="str">
        <f t="shared" si="48"/>
        <v>PASS</v>
      </c>
      <c r="H410" t="str">
        <f t="shared" si="49"/>
        <v>E</v>
      </c>
      <c r="I410" t="str">
        <f t="shared" si="50"/>
        <v>Average</v>
      </c>
      <c r="J410">
        <f t="shared" si="51"/>
        <v>95</v>
      </c>
      <c r="K410">
        <f t="shared" si="52"/>
        <v>55.98</v>
      </c>
      <c r="L410">
        <f t="shared" si="53"/>
        <v>20</v>
      </c>
      <c r="M410">
        <f t="shared" si="54"/>
        <v>462</v>
      </c>
      <c r="N410">
        <f t="shared" si="55"/>
        <v>38</v>
      </c>
    </row>
    <row r="411" spans="1:14">
      <c r="A411" t="s">
        <v>417</v>
      </c>
      <c r="B411" t="s">
        <v>9</v>
      </c>
      <c r="C411">
        <v>18</v>
      </c>
      <c r="D411">
        <v>75.8</v>
      </c>
      <c r="E411">
        <v>38</v>
      </c>
      <c r="F411">
        <v>63</v>
      </c>
      <c r="G411" t="str">
        <f t="shared" si="48"/>
        <v>PASS</v>
      </c>
      <c r="H411" t="str">
        <f t="shared" si="49"/>
        <v>C</v>
      </c>
      <c r="I411" t="str">
        <f t="shared" si="50"/>
        <v>Good</v>
      </c>
      <c r="J411">
        <f t="shared" si="51"/>
        <v>95</v>
      </c>
      <c r="K411">
        <f t="shared" si="52"/>
        <v>55.98</v>
      </c>
      <c r="L411">
        <f t="shared" si="53"/>
        <v>20</v>
      </c>
      <c r="M411">
        <f t="shared" si="54"/>
        <v>462</v>
      </c>
      <c r="N411">
        <f t="shared" si="55"/>
        <v>38</v>
      </c>
    </row>
    <row r="412" spans="1:14">
      <c r="A412" t="s">
        <v>418</v>
      </c>
      <c r="B412" t="s">
        <v>9</v>
      </c>
      <c r="C412">
        <v>16</v>
      </c>
      <c r="D412">
        <v>92.6</v>
      </c>
      <c r="E412">
        <v>54</v>
      </c>
      <c r="F412">
        <v>68</v>
      </c>
      <c r="G412" t="str">
        <f t="shared" si="48"/>
        <v>PASS</v>
      </c>
      <c r="H412" t="str">
        <f t="shared" si="49"/>
        <v>C</v>
      </c>
      <c r="I412" t="str">
        <f t="shared" si="50"/>
        <v>Good</v>
      </c>
      <c r="J412">
        <f t="shared" si="51"/>
        <v>95</v>
      </c>
      <c r="K412">
        <f t="shared" si="52"/>
        <v>55.98</v>
      </c>
      <c r="L412">
        <f t="shared" si="53"/>
        <v>20</v>
      </c>
      <c r="M412">
        <f t="shared" si="54"/>
        <v>462</v>
      </c>
      <c r="N412">
        <f t="shared" si="55"/>
        <v>38</v>
      </c>
    </row>
    <row r="413" spans="1:14">
      <c r="A413" t="s">
        <v>419</v>
      </c>
      <c r="B413" t="s">
        <v>7</v>
      </c>
      <c r="C413">
        <v>16</v>
      </c>
      <c r="D413">
        <v>72.8</v>
      </c>
      <c r="E413">
        <v>77</v>
      </c>
      <c r="F413">
        <v>40</v>
      </c>
      <c r="G413" t="str">
        <f t="shared" si="48"/>
        <v>PASS</v>
      </c>
      <c r="H413" t="str">
        <f t="shared" si="49"/>
        <v>E</v>
      </c>
      <c r="I413" t="str">
        <f t="shared" si="50"/>
        <v>Average</v>
      </c>
      <c r="J413">
        <f t="shared" si="51"/>
        <v>95</v>
      </c>
      <c r="K413">
        <f t="shared" si="52"/>
        <v>55.98</v>
      </c>
      <c r="L413">
        <f t="shared" si="53"/>
        <v>20</v>
      </c>
      <c r="M413">
        <f t="shared" si="54"/>
        <v>462</v>
      </c>
      <c r="N413">
        <f t="shared" si="55"/>
        <v>38</v>
      </c>
    </row>
    <row r="414" spans="1:14">
      <c r="A414" t="s">
        <v>420</v>
      </c>
      <c r="B414" t="s">
        <v>9</v>
      </c>
      <c r="C414">
        <v>15</v>
      </c>
      <c r="D414">
        <v>51.5</v>
      </c>
      <c r="E414">
        <v>52</v>
      </c>
      <c r="F414">
        <v>60</v>
      </c>
      <c r="G414" t="str">
        <f t="shared" si="48"/>
        <v>PASS</v>
      </c>
      <c r="H414" t="str">
        <f t="shared" si="49"/>
        <v>C</v>
      </c>
      <c r="I414" t="str">
        <f t="shared" si="50"/>
        <v>Good</v>
      </c>
      <c r="J414">
        <f t="shared" si="51"/>
        <v>95</v>
      </c>
      <c r="K414">
        <f t="shared" si="52"/>
        <v>55.98</v>
      </c>
      <c r="L414">
        <f t="shared" si="53"/>
        <v>20</v>
      </c>
      <c r="M414">
        <f t="shared" si="54"/>
        <v>462</v>
      </c>
      <c r="N414">
        <f t="shared" si="55"/>
        <v>38</v>
      </c>
    </row>
    <row r="415" spans="1:14">
      <c r="A415" t="s">
        <v>421</v>
      </c>
      <c r="B415" t="s">
        <v>9</v>
      </c>
      <c r="C415">
        <v>17</v>
      </c>
      <c r="D415">
        <v>91.9</v>
      </c>
      <c r="E415">
        <v>33</v>
      </c>
      <c r="F415">
        <v>41</v>
      </c>
      <c r="G415" t="str">
        <f t="shared" si="48"/>
        <v>PASS</v>
      </c>
      <c r="H415" t="str">
        <f t="shared" si="49"/>
        <v>E</v>
      </c>
      <c r="I415" t="str">
        <f t="shared" si="50"/>
        <v>Average</v>
      </c>
      <c r="J415">
        <f t="shared" si="51"/>
        <v>95</v>
      </c>
      <c r="K415">
        <f t="shared" si="52"/>
        <v>55.98</v>
      </c>
      <c r="L415">
        <f t="shared" si="53"/>
        <v>20</v>
      </c>
      <c r="M415">
        <f t="shared" si="54"/>
        <v>462</v>
      </c>
      <c r="N415">
        <f t="shared" si="55"/>
        <v>38</v>
      </c>
    </row>
    <row r="416" spans="1:14">
      <c r="A416" t="s">
        <v>422</v>
      </c>
      <c r="B416" t="s">
        <v>7</v>
      </c>
      <c r="C416">
        <v>16</v>
      </c>
      <c r="D416">
        <v>78.599999999999994</v>
      </c>
      <c r="E416">
        <v>56</v>
      </c>
      <c r="F416">
        <v>71</v>
      </c>
      <c r="G416" t="str">
        <f t="shared" si="48"/>
        <v>PASS</v>
      </c>
      <c r="H416" t="str">
        <f t="shared" si="49"/>
        <v>C</v>
      </c>
      <c r="I416" t="str">
        <f t="shared" si="50"/>
        <v>Good</v>
      </c>
      <c r="J416">
        <f t="shared" si="51"/>
        <v>95</v>
      </c>
      <c r="K416">
        <f t="shared" si="52"/>
        <v>55.98</v>
      </c>
      <c r="L416">
        <f t="shared" si="53"/>
        <v>20</v>
      </c>
      <c r="M416">
        <f t="shared" si="54"/>
        <v>462</v>
      </c>
      <c r="N416">
        <f t="shared" si="55"/>
        <v>38</v>
      </c>
    </row>
    <row r="417" spans="1:14">
      <c r="A417" t="s">
        <v>423</v>
      </c>
      <c r="B417" t="s">
        <v>9</v>
      </c>
      <c r="C417">
        <v>19</v>
      </c>
      <c r="D417">
        <v>93.2</v>
      </c>
      <c r="E417">
        <v>52</v>
      </c>
      <c r="F417">
        <v>45</v>
      </c>
      <c r="G417" t="str">
        <f t="shared" si="48"/>
        <v>PASS</v>
      </c>
      <c r="H417" t="str">
        <f t="shared" si="49"/>
        <v>E</v>
      </c>
      <c r="I417" t="str">
        <f t="shared" si="50"/>
        <v>Average</v>
      </c>
      <c r="J417">
        <f t="shared" si="51"/>
        <v>95</v>
      </c>
      <c r="K417">
        <f t="shared" si="52"/>
        <v>55.98</v>
      </c>
      <c r="L417">
        <f t="shared" si="53"/>
        <v>20</v>
      </c>
      <c r="M417">
        <f t="shared" si="54"/>
        <v>462</v>
      </c>
      <c r="N417">
        <f t="shared" si="55"/>
        <v>38</v>
      </c>
    </row>
    <row r="418" spans="1:14">
      <c r="A418" t="s">
        <v>424</v>
      </c>
      <c r="B418" t="s">
        <v>7</v>
      </c>
      <c r="C418">
        <v>16</v>
      </c>
      <c r="D418">
        <v>80.400000000000006</v>
      </c>
      <c r="E418">
        <v>78</v>
      </c>
      <c r="F418">
        <v>50</v>
      </c>
      <c r="G418" t="str">
        <f t="shared" si="48"/>
        <v>PASS</v>
      </c>
      <c r="H418" t="str">
        <f t="shared" si="49"/>
        <v>D</v>
      </c>
      <c r="I418" t="str">
        <f t="shared" si="50"/>
        <v>Average</v>
      </c>
      <c r="J418">
        <f t="shared" si="51"/>
        <v>95</v>
      </c>
      <c r="K418">
        <f t="shared" si="52"/>
        <v>55.98</v>
      </c>
      <c r="L418">
        <f t="shared" si="53"/>
        <v>20</v>
      </c>
      <c r="M418">
        <f t="shared" si="54"/>
        <v>462</v>
      </c>
      <c r="N418">
        <f t="shared" si="55"/>
        <v>38</v>
      </c>
    </row>
    <row r="419" spans="1:14">
      <c r="A419" t="s">
        <v>425</v>
      </c>
      <c r="B419" t="s">
        <v>9</v>
      </c>
      <c r="C419">
        <v>17</v>
      </c>
      <c r="D419">
        <v>73.3</v>
      </c>
      <c r="E419">
        <v>30</v>
      </c>
      <c r="F419">
        <v>40</v>
      </c>
      <c r="G419" t="str">
        <f t="shared" si="48"/>
        <v>PASS</v>
      </c>
      <c r="H419" t="str">
        <f t="shared" si="49"/>
        <v>E</v>
      </c>
      <c r="I419" t="str">
        <f t="shared" si="50"/>
        <v>Average</v>
      </c>
      <c r="J419">
        <f t="shared" si="51"/>
        <v>95</v>
      </c>
      <c r="K419">
        <f t="shared" si="52"/>
        <v>55.98</v>
      </c>
      <c r="L419">
        <f t="shared" si="53"/>
        <v>20</v>
      </c>
      <c r="M419">
        <f t="shared" si="54"/>
        <v>462</v>
      </c>
      <c r="N419">
        <f t="shared" si="55"/>
        <v>38</v>
      </c>
    </row>
    <row r="420" spans="1:14">
      <c r="A420" t="s">
        <v>426</v>
      </c>
      <c r="B420" t="s">
        <v>9</v>
      </c>
      <c r="C420">
        <v>19</v>
      </c>
      <c r="D420">
        <v>79.7</v>
      </c>
      <c r="E420">
        <v>91</v>
      </c>
      <c r="F420">
        <v>62</v>
      </c>
      <c r="G420" t="str">
        <f t="shared" si="48"/>
        <v>PASS</v>
      </c>
      <c r="H420" t="str">
        <f t="shared" si="49"/>
        <v>C</v>
      </c>
      <c r="I420" t="str">
        <f t="shared" si="50"/>
        <v>Good</v>
      </c>
      <c r="J420">
        <f t="shared" si="51"/>
        <v>95</v>
      </c>
      <c r="K420">
        <f t="shared" si="52"/>
        <v>55.98</v>
      </c>
      <c r="L420">
        <f t="shared" si="53"/>
        <v>20</v>
      </c>
      <c r="M420">
        <f t="shared" si="54"/>
        <v>462</v>
      </c>
      <c r="N420">
        <f t="shared" si="55"/>
        <v>38</v>
      </c>
    </row>
    <row r="421" spans="1:14">
      <c r="A421" t="s">
        <v>427</v>
      </c>
      <c r="B421" t="s">
        <v>9</v>
      </c>
      <c r="C421">
        <v>17</v>
      </c>
      <c r="D421">
        <v>66.3</v>
      </c>
      <c r="E421">
        <v>54</v>
      </c>
      <c r="F421">
        <v>52</v>
      </c>
      <c r="G421" t="str">
        <f t="shared" si="48"/>
        <v>PASS</v>
      </c>
      <c r="H421" t="str">
        <f t="shared" si="49"/>
        <v>D</v>
      </c>
      <c r="I421" t="str">
        <f t="shared" si="50"/>
        <v>Average</v>
      </c>
      <c r="J421">
        <f t="shared" si="51"/>
        <v>95</v>
      </c>
      <c r="K421">
        <f t="shared" si="52"/>
        <v>55.98</v>
      </c>
      <c r="L421">
        <f t="shared" si="53"/>
        <v>20</v>
      </c>
      <c r="M421">
        <f t="shared" si="54"/>
        <v>462</v>
      </c>
      <c r="N421">
        <f t="shared" si="55"/>
        <v>38</v>
      </c>
    </row>
    <row r="422" spans="1:14">
      <c r="A422" t="s">
        <v>428</v>
      </c>
      <c r="B422" t="s">
        <v>7</v>
      </c>
      <c r="C422">
        <v>15</v>
      </c>
      <c r="D422">
        <v>92.9</v>
      </c>
      <c r="E422">
        <v>47</v>
      </c>
      <c r="F422">
        <v>85</v>
      </c>
      <c r="G422" t="str">
        <f t="shared" si="48"/>
        <v>PASS</v>
      </c>
      <c r="H422" t="str">
        <f t="shared" si="49"/>
        <v>B</v>
      </c>
      <c r="I422" t="str">
        <f t="shared" si="50"/>
        <v>Excellent</v>
      </c>
      <c r="J422">
        <f t="shared" si="51"/>
        <v>95</v>
      </c>
      <c r="K422">
        <f t="shared" si="52"/>
        <v>55.98</v>
      </c>
      <c r="L422">
        <f t="shared" si="53"/>
        <v>20</v>
      </c>
      <c r="M422">
        <f t="shared" si="54"/>
        <v>462</v>
      </c>
      <c r="N422">
        <f t="shared" si="55"/>
        <v>38</v>
      </c>
    </row>
    <row r="423" spans="1:14">
      <c r="A423" t="s">
        <v>429</v>
      </c>
      <c r="B423" t="s">
        <v>7</v>
      </c>
      <c r="C423">
        <v>18</v>
      </c>
      <c r="D423">
        <v>63</v>
      </c>
      <c r="E423">
        <v>34</v>
      </c>
      <c r="F423">
        <v>45</v>
      </c>
      <c r="G423" t="str">
        <f t="shared" si="48"/>
        <v>PASS</v>
      </c>
      <c r="H423" t="str">
        <f t="shared" si="49"/>
        <v>E</v>
      </c>
      <c r="I423" t="str">
        <f t="shared" si="50"/>
        <v>Average</v>
      </c>
      <c r="J423">
        <f t="shared" si="51"/>
        <v>95</v>
      </c>
      <c r="K423">
        <f t="shared" si="52"/>
        <v>55.98</v>
      </c>
      <c r="L423">
        <f t="shared" si="53"/>
        <v>20</v>
      </c>
      <c r="M423">
        <f t="shared" si="54"/>
        <v>462</v>
      </c>
      <c r="N423">
        <f t="shared" si="55"/>
        <v>38</v>
      </c>
    </row>
    <row r="424" spans="1:14">
      <c r="A424" t="s">
        <v>430</v>
      </c>
      <c r="B424" t="s">
        <v>7</v>
      </c>
      <c r="C424">
        <v>17</v>
      </c>
      <c r="D424">
        <v>85.7</v>
      </c>
      <c r="E424">
        <v>94</v>
      </c>
      <c r="F424">
        <v>76</v>
      </c>
      <c r="G424" t="str">
        <f t="shared" si="48"/>
        <v>PASS</v>
      </c>
      <c r="H424" t="str">
        <f t="shared" si="49"/>
        <v>C</v>
      </c>
      <c r="I424" t="str">
        <f t="shared" si="50"/>
        <v>Good</v>
      </c>
      <c r="J424">
        <f t="shared" si="51"/>
        <v>95</v>
      </c>
      <c r="K424">
        <f t="shared" si="52"/>
        <v>55.98</v>
      </c>
      <c r="L424">
        <f t="shared" si="53"/>
        <v>20</v>
      </c>
      <c r="M424">
        <f t="shared" si="54"/>
        <v>462</v>
      </c>
      <c r="N424">
        <f t="shared" si="55"/>
        <v>38</v>
      </c>
    </row>
    <row r="425" spans="1:14">
      <c r="A425" t="s">
        <v>431</v>
      </c>
      <c r="B425" t="s">
        <v>7</v>
      </c>
      <c r="C425">
        <v>19</v>
      </c>
      <c r="D425">
        <v>64.7</v>
      </c>
      <c r="E425">
        <v>53</v>
      </c>
      <c r="F425">
        <v>46</v>
      </c>
      <c r="G425" t="str">
        <f t="shared" si="48"/>
        <v>PASS</v>
      </c>
      <c r="H425" t="str">
        <f t="shared" si="49"/>
        <v>E</v>
      </c>
      <c r="I425" t="str">
        <f t="shared" si="50"/>
        <v>Average</v>
      </c>
      <c r="J425">
        <f t="shared" si="51"/>
        <v>95</v>
      </c>
      <c r="K425">
        <f t="shared" si="52"/>
        <v>55.98</v>
      </c>
      <c r="L425">
        <f t="shared" si="53"/>
        <v>20</v>
      </c>
      <c r="M425">
        <f t="shared" si="54"/>
        <v>462</v>
      </c>
      <c r="N425">
        <f t="shared" si="55"/>
        <v>38</v>
      </c>
    </row>
    <row r="426" spans="1:14">
      <c r="A426" t="s">
        <v>432</v>
      </c>
      <c r="B426" t="s">
        <v>9</v>
      </c>
      <c r="C426">
        <v>15</v>
      </c>
      <c r="D426">
        <v>67.8</v>
      </c>
      <c r="E426">
        <v>77</v>
      </c>
      <c r="F426">
        <v>42</v>
      </c>
      <c r="G426" t="str">
        <f t="shared" si="48"/>
        <v>PASS</v>
      </c>
      <c r="H426" t="str">
        <f t="shared" si="49"/>
        <v>E</v>
      </c>
      <c r="I426" t="str">
        <f t="shared" si="50"/>
        <v>Average</v>
      </c>
      <c r="J426">
        <f t="shared" si="51"/>
        <v>95</v>
      </c>
      <c r="K426">
        <f t="shared" si="52"/>
        <v>55.98</v>
      </c>
      <c r="L426">
        <f t="shared" si="53"/>
        <v>20</v>
      </c>
      <c r="M426">
        <f t="shared" si="54"/>
        <v>462</v>
      </c>
      <c r="N426">
        <f t="shared" si="55"/>
        <v>38</v>
      </c>
    </row>
    <row r="427" spans="1:14">
      <c r="A427" t="s">
        <v>433</v>
      </c>
      <c r="B427" t="s">
        <v>9</v>
      </c>
      <c r="C427">
        <v>18</v>
      </c>
      <c r="D427">
        <v>55.9</v>
      </c>
      <c r="E427">
        <v>54</v>
      </c>
      <c r="F427">
        <v>72</v>
      </c>
      <c r="G427" t="str">
        <f t="shared" si="48"/>
        <v>PASS</v>
      </c>
      <c r="H427" t="str">
        <f t="shared" si="49"/>
        <v>C</v>
      </c>
      <c r="I427" t="str">
        <f t="shared" si="50"/>
        <v>Good</v>
      </c>
      <c r="J427">
        <f t="shared" si="51"/>
        <v>95</v>
      </c>
      <c r="K427">
        <f t="shared" si="52"/>
        <v>55.98</v>
      </c>
      <c r="L427">
        <f t="shared" si="53"/>
        <v>20</v>
      </c>
      <c r="M427">
        <f t="shared" si="54"/>
        <v>462</v>
      </c>
      <c r="N427">
        <f t="shared" si="55"/>
        <v>38</v>
      </c>
    </row>
    <row r="428" spans="1:14">
      <c r="A428" t="s">
        <v>434</v>
      </c>
      <c r="B428" t="s">
        <v>7</v>
      </c>
      <c r="C428">
        <v>18</v>
      </c>
      <c r="D428">
        <v>64.900000000000006</v>
      </c>
      <c r="E428">
        <v>55</v>
      </c>
      <c r="F428">
        <v>52</v>
      </c>
      <c r="G428" t="str">
        <f t="shared" si="48"/>
        <v>PASS</v>
      </c>
      <c r="H428" t="str">
        <f t="shared" si="49"/>
        <v>D</v>
      </c>
      <c r="I428" t="str">
        <f t="shared" si="50"/>
        <v>Average</v>
      </c>
      <c r="J428">
        <f t="shared" si="51"/>
        <v>95</v>
      </c>
      <c r="K428">
        <f t="shared" si="52"/>
        <v>55.98</v>
      </c>
      <c r="L428">
        <f t="shared" si="53"/>
        <v>20</v>
      </c>
      <c r="M428">
        <f t="shared" si="54"/>
        <v>462</v>
      </c>
      <c r="N428">
        <f t="shared" si="55"/>
        <v>38</v>
      </c>
    </row>
    <row r="429" spans="1:14">
      <c r="A429" t="s">
        <v>435</v>
      </c>
      <c r="B429" t="s">
        <v>9</v>
      </c>
      <c r="C429">
        <v>19</v>
      </c>
      <c r="D429">
        <v>95.3</v>
      </c>
      <c r="E429">
        <v>53</v>
      </c>
      <c r="F429">
        <v>93</v>
      </c>
      <c r="G429" t="str">
        <f t="shared" si="48"/>
        <v>PASS</v>
      </c>
      <c r="H429" t="str">
        <f t="shared" si="49"/>
        <v>A</v>
      </c>
      <c r="I429" t="str">
        <f t="shared" si="50"/>
        <v>Excellent</v>
      </c>
      <c r="J429">
        <f t="shared" si="51"/>
        <v>95</v>
      </c>
      <c r="K429">
        <f t="shared" si="52"/>
        <v>55.98</v>
      </c>
      <c r="L429">
        <f t="shared" si="53"/>
        <v>20</v>
      </c>
      <c r="M429">
        <f t="shared" si="54"/>
        <v>462</v>
      </c>
      <c r="N429">
        <f t="shared" si="55"/>
        <v>38</v>
      </c>
    </row>
    <row r="430" spans="1:14">
      <c r="A430" t="s">
        <v>436</v>
      </c>
      <c r="B430" t="s">
        <v>7</v>
      </c>
      <c r="C430">
        <v>18</v>
      </c>
      <c r="D430">
        <v>81.599999999999994</v>
      </c>
      <c r="E430">
        <v>30</v>
      </c>
      <c r="F430">
        <v>47</v>
      </c>
      <c r="G430" t="str">
        <f t="shared" si="48"/>
        <v>PASS</v>
      </c>
      <c r="H430" t="str">
        <f t="shared" si="49"/>
        <v>E</v>
      </c>
      <c r="I430" t="str">
        <f t="shared" si="50"/>
        <v>Average</v>
      </c>
      <c r="J430">
        <f t="shared" si="51"/>
        <v>95</v>
      </c>
      <c r="K430">
        <f t="shared" si="52"/>
        <v>55.98</v>
      </c>
      <c r="L430">
        <f t="shared" si="53"/>
        <v>20</v>
      </c>
      <c r="M430">
        <f t="shared" si="54"/>
        <v>462</v>
      </c>
      <c r="N430">
        <f t="shared" si="55"/>
        <v>38</v>
      </c>
    </row>
    <row r="431" spans="1:14">
      <c r="A431" t="s">
        <v>437</v>
      </c>
      <c r="B431" t="s">
        <v>9</v>
      </c>
      <c r="C431">
        <v>16</v>
      </c>
      <c r="D431">
        <v>88.7</v>
      </c>
      <c r="E431">
        <v>41</v>
      </c>
      <c r="F431">
        <v>62</v>
      </c>
      <c r="G431" t="str">
        <f t="shared" si="48"/>
        <v>PASS</v>
      </c>
      <c r="H431" t="str">
        <f t="shared" si="49"/>
        <v>C</v>
      </c>
      <c r="I431" t="str">
        <f t="shared" si="50"/>
        <v>Good</v>
      </c>
      <c r="J431">
        <f t="shared" si="51"/>
        <v>95</v>
      </c>
      <c r="K431">
        <f t="shared" si="52"/>
        <v>55.98</v>
      </c>
      <c r="L431">
        <f t="shared" si="53"/>
        <v>20</v>
      </c>
      <c r="M431">
        <f t="shared" si="54"/>
        <v>462</v>
      </c>
      <c r="N431">
        <f t="shared" si="55"/>
        <v>38</v>
      </c>
    </row>
    <row r="432" spans="1:14">
      <c r="A432" t="s">
        <v>438</v>
      </c>
      <c r="B432" t="s">
        <v>9</v>
      </c>
      <c r="C432">
        <v>18</v>
      </c>
      <c r="D432">
        <v>71.5</v>
      </c>
      <c r="E432">
        <v>34</v>
      </c>
      <c r="F432">
        <v>51</v>
      </c>
      <c r="G432" t="str">
        <f t="shared" si="48"/>
        <v>PASS</v>
      </c>
      <c r="H432" t="str">
        <f t="shared" si="49"/>
        <v>D</v>
      </c>
      <c r="I432" t="str">
        <f t="shared" si="50"/>
        <v>Average</v>
      </c>
      <c r="J432">
        <f t="shared" si="51"/>
        <v>95</v>
      </c>
      <c r="K432">
        <f t="shared" si="52"/>
        <v>55.98</v>
      </c>
      <c r="L432">
        <f t="shared" si="53"/>
        <v>20</v>
      </c>
      <c r="M432">
        <f t="shared" si="54"/>
        <v>462</v>
      </c>
      <c r="N432">
        <f t="shared" si="55"/>
        <v>38</v>
      </c>
    </row>
    <row r="433" spans="1:14">
      <c r="A433" t="s">
        <v>439</v>
      </c>
      <c r="B433" t="s">
        <v>7</v>
      </c>
      <c r="C433">
        <v>17</v>
      </c>
      <c r="D433">
        <v>94.6</v>
      </c>
      <c r="E433">
        <v>30</v>
      </c>
      <c r="F433">
        <v>42</v>
      </c>
      <c r="G433" t="str">
        <f t="shared" si="48"/>
        <v>PASS</v>
      </c>
      <c r="H433" t="str">
        <f t="shared" si="49"/>
        <v>E</v>
      </c>
      <c r="I433" t="str">
        <f t="shared" si="50"/>
        <v>Average</v>
      </c>
      <c r="J433">
        <f t="shared" si="51"/>
        <v>95</v>
      </c>
      <c r="K433">
        <f t="shared" si="52"/>
        <v>55.98</v>
      </c>
      <c r="L433">
        <f t="shared" si="53"/>
        <v>20</v>
      </c>
      <c r="M433">
        <f t="shared" si="54"/>
        <v>462</v>
      </c>
      <c r="N433">
        <f t="shared" si="55"/>
        <v>38</v>
      </c>
    </row>
    <row r="434" spans="1:14">
      <c r="A434" t="s">
        <v>440</v>
      </c>
      <c r="B434" t="s">
        <v>7</v>
      </c>
      <c r="C434">
        <v>16</v>
      </c>
      <c r="D434">
        <v>93.8</v>
      </c>
      <c r="E434">
        <v>79</v>
      </c>
      <c r="F434">
        <v>80</v>
      </c>
      <c r="G434" t="str">
        <f t="shared" si="48"/>
        <v>PASS</v>
      </c>
      <c r="H434" t="str">
        <f t="shared" si="49"/>
        <v>B</v>
      </c>
      <c r="I434" t="str">
        <f t="shared" si="50"/>
        <v>Excellent</v>
      </c>
      <c r="J434">
        <f t="shared" si="51"/>
        <v>95</v>
      </c>
      <c r="K434">
        <f t="shared" si="52"/>
        <v>55.98</v>
      </c>
      <c r="L434">
        <f t="shared" si="53"/>
        <v>20</v>
      </c>
      <c r="M434">
        <f t="shared" si="54"/>
        <v>462</v>
      </c>
      <c r="N434">
        <f t="shared" si="55"/>
        <v>38</v>
      </c>
    </row>
    <row r="435" spans="1:14">
      <c r="A435" t="s">
        <v>441</v>
      </c>
      <c r="B435" t="s">
        <v>9</v>
      </c>
      <c r="C435">
        <v>16</v>
      </c>
      <c r="D435">
        <v>91.2</v>
      </c>
      <c r="E435">
        <v>73</v>
      </c>
      <c r="F435">
        <v>45</v>
      </c>
      <c r="G435" t="str">
        <f t="shared" si="48"/>
        <v>PASS</v>
      </c>
      <c r="H435" t="str">
        <f t="shared" si="49"/>
        <v>E</v>
      </c>
      <c r="I435" t="str">
        <f t="shared" si="50"/>
        <v>Average</v>
      </c>
      <c r="J435">
        <f t="shared" si="51"/>
        <v>95</v>
      </c>
      <c r="K435">
        <f t="shared" si="52"/>
        <v>55.98</v>
      </c>
      <c r="L435">
        <f t="shared" si="53"/>
        <v>20</v>
      </c>
      <c r="M435">
        <f t="shared" si="54"/>
        <v>462</v>
      </c>
      <c r="N435">
        <f t="shared" si="55"/>
        <v>38</v>
      </c>
    </row>
    <row r="436" spans="1:14">
      <c r="A436" t="s">
        <v>442</v>
      </c>
      <c r="B436" t="s">
        <v>7</v>
      </c>
      <c r="C436">
        <v>17</v>
      </c>
      <c r="D436">
        <v>74.5</v>
      </c>
      <c r="E436">
        <v>32</v>
      </c>
      <c r="F436">
        <v>65</v>
      </c>
      <c r="G436" t="str">
        <f t="shared" si="48"/>
        <v>PASS</v>
      </c>
      <c r="H436" t="str">
        <f t="shared" si="49"/>
        <v>C</v>
      </c>
      <c r="I436" t="str">
        <f t="shared" si="50"/>
        <v>Good</v>
      </c>
      <c r="J436">
        <f t="shared" si="51"/>
        <v>95</v>
      </c>
      <c r="K436">
        <f t="shared" si="52"/>
        <v>55.98</v>
      </c>
      <c r="L436">
        <f t="shared" si="53"/>
        <v>20</v>
      </c>
      <c r="M436">
        <f t="shared" si="54"/>
        <v>462</v>
      </c>
      <c r="N436">
        <f t="shared" si="55"/>
        <v>38</v>
      </c>
    </row>
    <row r="437" spans="1:14">
      <c r="A437" t="s">
        <v>443</v>
      </c>
      <c r="B437" t="s">
        <v>7</v>
      </c>
      <c r="C437">
        <v>16</v>
      </c>
      <c r="D437">
        <v>86.7</v>
      </c>
      <c r="E437">
        <v>76</v>
      </c>
      <c r="F437">
        <v>60</v>
      </c>
      <c r="G437" t="str">
        <f t="shared" si="48"/>
        <v>PASS</v>
      </c>
      <c r="H437" t="str">
        <f t="shared" si="49"/>
        <v>C</v>
      </c>
      <c r="I437" t="str">
        <f t="shared" si="50"/>
        <v>Good</v>
      </c>
      <c r="J437">
        <f t="shared" si="51"/>
        <v>95</v>
      </c>
      <c r="K437">
        <f t="shared" si="52"/>
        <v>55.98</v>
      </c>
      <c r="L437">
        <f t="shared" si="53"/>
        <v>20</v>
      </c>
      <c r="M437">
        <f t="shared" si="54"/>
        <v>462</v>
      </c>
      <c r="N437">
        <f t="shared" si="55"/>
        <v>38</v>
      </c>
    </row>
    <row r="438" spans="1:14">
      <c r="A438" t="s">
        <v>444</v>
      </c>
      <c r="B438" t="s">
        <v>7</v>
      </c>
      <c r="C438">
        <v>18</v>
      </c>
      <c r="D438">
        <v>82</v>
      </c>
      <c r="E438">
        <v>43</v>
      </c>
      <c r="F438">
        <v>83</v>
      </c>
      <c r="G438" t="str">
        <f t="shared" si="48"/>
        <v>PASS</v>
      </c>
      <c r="H438" t="str">
        <f t="shared" si="49"/>
        <v>B</v>
      </c>
      <c r="I438" t="str">
        <f t="shared" si="50"/>
        <v>Excellent</v>
      </c>
      <c r="J438">
        <f t="shared" si="51"/>
        <v>95</v>
      </c>
      <c r="K438">
        <f t="shared" si="52"/>
        <v>55.98</v>
      </c>
      <c r="L438">
        <f t="shared" si="53"/>
        <v>20</v>
      </c>
      <c r="M438">
        <f t="shared" si="54"/>
        <v>462</v>
      </c>
      <c r="N438">
        <f t="shared" si="55"/>
        <v>38</v>
      </c>
    </row>
    <row r="439" spans="1:14">
      <c r="A439" t="s">
        <v>445</v>
      </c>
      <c r="B439" t="s">
        <v>7</v>
      </c>
      <c r="C439">
        <v>15</v>
      </c>
      <c r="D439">
        <v>55.8</v>
      </c>
      <c r="E439">
        <v>62</v>
      </c>
      <c r="F439">
        <v>65</v>
      </c>
      <c r="G439" t="str">
        <f t="shared" si="48"/>
        <v>PASS</v>
      </c>
      <c r="H439" t="str">
        <f t="shared" si="49"/>
        <v>C</v>
      </c>
      <c r="I439" t="str">
        <f t="shared" si="50"/>
        <v>Good</v>
      </c>
      <c r="J439">
        <f t="shared" si="51"/>
        <v>95</v>
      </c>
      <c r="K439">
        <f t="shared" si="52"/>
        <v>55.98</v>
      </c>
      <c r="L439">
        <f t="shared" si="53"/>
        <v>20</v>
      </c>
      <c r="M439">
        <f t="shared" si="54"/>
        <v>462</v>
      </c>
      <c r="N439">
        <f t="shared" si="55"/>
        <v>38</v>
      </c>
    </row>
    <row r="440" spans="1:14">
      <c r="A440" t="s">
        <v>446</v>
      </c>
      <c r="B440" t="s">
        <v>7</v>
      </c>
      <c r="C440">
        <v>16</v>
      </c>
      <c r="D440">
        <v>84.3</v>
      </c>
      <c r="E440">
        <v>42</v>
      </c>
      <c r="F440">
        <v>75</v>
      </c>
      <c r="G440" t="str">
        <f t="shared" si="48"/>
        <v>PASS</v>
      </c>
      <c r="H440" t="str">
        <f t="shared" si="49"/>
        <v>C</v>
      </c>
      <c r="I440" t="str">
        <f t="shared" si="50"/>
        <v>Good</v>
      </c>
      <c r="J440">
        <f t="shared" si="51"/>
        <v>95</v>
      </c>
      <c r="K440">
        <f t="shared" si="52"/>
        <v>55.98</v>
      </c>
      <c r="L440">
        <f t="shared" si="53"/>
        <v>20</v>
      </c>
      <c r="M440">
        <f t="shared" si="54"/>
        <v>462</v>
      </c>
      <c r="N440">
        <f t="shared" si="55"/>
        <v>38</v>
      </c>
    </row>
    <row r="441" spans="1:14">
      <c r="A441" t="s">
        <v>447</v>
      </c>
      <c r="B441" t="s">
        <v>9</v>
      </c>
      <c r="C441">
        <v>19</v>
      </c>
      <c r="D441">
        <v>85</v>
      </c>
      <c r="E441">
        <v>66</v>
      </c>
      <c r="F441">
        <v>58</v>
      </c>
      <c r="G441" t="str">
        <f t="shared" si="48"/>
        <v>PASS</v>
      </c>
      <c r="H441" t="str">
        <f t="shared" si="49"/>
        <v>D</v>
      </c>
      <c r="I441" t="str">
        <f t="shared" si="50"/>
        <v>Average</v>
      </c>
      <c r="J441">
        <f t="shared" si="51"/>
        <v>95</v>
      </c>
      <c r="K441">
        <f t="shared" si="52"/>
        <v>55.98</v>
      </c>
      <c r="L441">
        <f t="shared" si="53"/>
        <v>20</v>
      </c>
      <c r="M441">
        <f t="shared" si="54"/>
        <v>462</v>
      </c>
      <c r="N441">
        <f t="shared" si="55"/>
        <v>38</v>
      </c>
    </row>
    <row r="442" spans="1:14">
      <c r="A442" t="s">
        <v>448</v>
      </c>
      <c r="B442" t="s">
        <v>7</v>
      </c>
      <c r="C442">
        <v>18</v>
      </c>
      <c r="D442">
        <v>80.5</v>
      </c>
      <c r="E442">
        <v>82</v>
      </c>
      <c r="F442">
        <v>46</v>
      </c>
      <c r="G442" t="str">
        <f t="shared" si="48"/>
        <v>PASS</v>
      </c>
      <c r="H442" t="str">
        <f t="shared" si="49"/>
        <v>E</v>
      </c>
      <c r="I442" t="str">
        <f t="shared" si="50"/>
        <v>Average</v>
      </c>
      <c r="J442">
        <f t="shared" si="51"/>
        <v>95</v>
      </c>
      <c r="K442">
        <f t="shared" si="52"/>
        <v>55.98</v>
      </c>
      <c r="L442">
        <f t="shared" si="53"/>
        <v>20</v>
      </c>
      <c r="M442">
        <f t="shared" si="54"/>
        <v>462</v>
      </c>
      <c r="N442">
        <f t="shared" si="55"/>
        <v>38</v>
      </c>
    </row>
    <row r="443" spans="1:14">
      <c r="A443" t="s">
        <v>449</v>
      </c>
      <c r="B443" t="s">
        <v>7</v>
      </c>
      <c r="C443">
        <v>15</v>
      </c>
      <c r="D443">
        <v>74.8</v>
      </c>
      <c r="E443">
        <v>60</v>
      </c>
      <c r="F443">
        <v>47</v>
      </c>
      <c r="G443" t="str">
        <f t="shared" si="48"/>
        <v>PASS</v>
      </c>
      <c r="H443" t="str">
        <f t="shared" si="49"/>
        <v>E</v>
      </c>
      <c r="I443" t="str">
        <f t="shared" si="50"/>
        <v>Average</v>
      </c>
      <c r="J443">
        <f t="shared" si="51"/>
        <v>95</v>
      </c>
      <c r="K443">
        <f t="shared" si="52"/>
        <v>55.98</v>
      </c>
      <c r="L443">
        <f t="shared" si="53"/>
        <v>20</v>
      </c>
      <c r="M443">
        <f t="shared" si="54"/>
        <v>462</v>
      </c>
      <c r="N443">
        <f t="shared" si="55"/>
        <v>38</v>
      </c>
    </row>
    <row r="444" spans="1:14">
      <c r="A444" t="s">
        <v>450</v>
      </c>
      <c r="B444" t="s">
        <v>7</v>
      </c>
      <c r="C444">
        <v>15</v>
      </c>
      <c r="D444">
        <v>91.8</v>
      </c>
      <c r="E444">
        <v>95</v>
      </c>
      <c r="F444">
        <v>41</v>
      </c>
      <c r="G444" t="str">
        <f t="shared" si="48"/>
        <v>PASS</v>
      </c>
      <c r="H444" t="str">
        <f t="shared" si="49"/>
        <v>E</v>
      </c>
      <c r="I444" t="str">
        <f t="shared" si="50"/>
        <v>Average</v>
      </c>
      <c r="J444">
        <f t="shared" si="51"/>
        <v>95</v>
      </c>
      <c r="K444">
        <f t="shared" si="52"/>
        <v>55.98</v>
      </c>
      <c r="L444">
        <f t="shared" si="53"/>
        <v>20</v>
      </c>
      <c r="M444">
        <f t="shared" si="54"/>
        <v>462</v>
      </c>
      <c r="N444">
        <f t="shared" si="55"/>
        <v>38</v>
      </c>
    </row>
    <row r="445" spans="1:14">
      <c r="A445" t="s">
        <v>451</v>
      </c>
      <c r="B445" t="s">
        <v>7</v>
      </c>
      <c r="C445">
        <v>17</v>
      </c>
      <c r="D445">
        <v>61.6</v>
      </c>
      <c r="E445">
        <v>36</v>
      </c>
      <c r="F445">
        <v>46</v>
      </c>
      <c r="G445" t="str">
        <f t="shared" si="48"/>
        <v>PASS</v>
      </c>
      <c r="H445" t="str">
        <f t="shared" si="49"/>
        <v>E</v>
      </c>
      <c r="I445" t="str">
        <f t="shared" si="50"/>
        <v>Average</v>
      </c>
      <c r="J445">
        <f t="shared" si="51"/>
        <v>95</v>
      </c>
      <c r="K445">
        <f t="shared" si="52"/>
        <v>55.98</v>
      </c>
      <c r="L445">
        <f t="shared" si="53"/>
        <v>20</v>
      </c>
      <c r="M445">
        <f t="shared" si="54"/>
        <v>462</v>
      </c>
      <c r="N445">
        <f t="shared" si="55"/>
        <v>38</v>
      </c>
    </row>
    <row r="446" spans="1:14">
      <c r="A446" t="s">
        <v>452</v>
      </c>
      <c r="B446" t="s">
        <v>7</v>
      </c>
      <c r="C446">
        <v>15</v>
      </c>
      <c r="D446">
        <v>64.5</v>
      </c>
      <c r="E446">
        <v>42</v>
      </c>
      <c r="F446">
        <v>80</v>
      </c>
      <c r="G446" t="str">
        <f t="shared" si="48"/>
        <v>PASS</v>
      </c>
      <c r="H446" t="str">
        <f t="shared" si="49"/>
        <v>B</v>
      </c>
      <c r="I446" t="str">
        <f t="shared" si="50"/>
        <v>Excellent</v>
      </c>
      <c r="J446">
        <f t="shared" si="51"/>
        <v>95</v>
      </c>
      <c r="K446">
        <f t="shared" si="52"/>
        <v>55.98</v>
      </c>
      <c r="L446">
        <f t="shared" si="53"/>
        <v>20</v>
      </c>
      <c r="M446">
        <f t="shared" si="54"/>
        <v>462</v>
      </c>
      <c r="N446">
        <f t="shared" si="55"/>
        <v>38</v>
      </c>
    </row>
    <row r="447" spans="1:14">
      <c r="A447" t="s">
        <v>453</v>
      </c>
      <c r="B447" t="s">
        <v>7</v>
      </c>
      <c r="C447">
        <v>15</v>
      </c>
      <c r="D447">
        <v>56.9</v>
      </c>
      <c r="E447">
        <v>86</v>
      </c>
      <c r="F447">
        <v>81</v>
      </c>
      <c r="G447" t="str">
        <f t="shared" si="48"/>
        <v>PASS</v>
      </c>
      <c r="H447" t="str">
        <f t="shared" si="49"/>
        <v>B</v>
      </c>
      <c r="I447" t="str">
        <f t="shared" si="50"/>
        <v>Excellent</v>
      </c>
      <c r="J447">
        <f t="shared" si="51"/>
        <v>95</v>
      </c>
      <c r="K447">
        <f t="shared" si="52"/>
        <v>55.98</v>
      </c>
      <c r="L447">
        <f t="shared" si="53"/>
        <v>20</v>
      </c>
      <c r="M447">
        <f t="shared" si="54"/>
        <v>462</v>
      </c>
      <c r="N447">
        <f t="shared" si="55"/>
        <v>38</v>
      </c>
    </row>
    <row r="448" spans="1:14">
      <c r="A448" t="s">
        <v>454</v>
      </c>
      <c r="B448" t="s">
        <v>9</v>
      </c>
      <c r="C448">
        <v>15</v>
      </c>
      <c r="D448">
        <v>90.7</v>
      </c>
      <c r="E448">
        <v>81</v>
      </c>
      <c r="F448">
        <v>61</v>
      </c>
      <c r="G448" t="str">
        <f t="shared" si="48"/>
        <v>PASS</v>
      </c>
      <c r="H448" t="str">
        <f t="shared" si="49"/>
        <v>C</v>
      </c>
      <c r="I448" t="str">
        <f t="shared" si="50"/>
        <v>Good</v>
      </c>
      <c r="J448">
        <f t="shared" si="51"/>
        <v>95</v>
      </c>
      <c r="K448">
        <f t="shared" si="52"/>
        <v>55.98</v>
      </c>
      <c r="L448">
        <f t="shared" si="53"/>
        <v>20</v>
      </c>
      <c r="M448">
        <f t="shared" si="54"/>
        <v>462</v>
      </c>
      <c r="N448">
        <f t="shared" si="55"/>
        <v>38</v>
      </c>
    </row>
    <row r="449" spans="1:14">
      <c r="A449" t="s">
        <v>455</v>
      </c>
      <c r="B449" t="s">
        <v>9</v>
      </c>
      <c r="C449">
        <v>18</v>
      </c>
      <c r="D449">
        <v>92.5</v>
      </c>
      <c r="E449">
        <v>46</v>
      </c>
      <c r="F449">
        <v>79</v>
      </c>
      <c r="G449" t="str">
        <f t="shared" si="48"/>
        <v>PASS</v>
      </c>
      <c r="H449" t="str">
        <f t="shared" si="49"/>
        <v>C</v>
      </c>
      <c r="I449" t="str">
        <f t="shared" si="50"/>
        <v>Good</v>
      </c>
      <c r="J449">
        <f t="shared" si="51"/>
        <v>95</v>
      </c>
      <c r="K449">
        <f t="shared" si="52"/>
        <v>55.98</v>
      </c>
      <c r="L449">
        <f t="shared" si="53"/>
        <v>20</v>
      </c>
      <c r="M449">
        <f t="shared" si="54"/>
        <v>462</v>
      </c>
      <c r="N449">
        <f t="shared" si="55"/>
        <v>38</v>
      </c>
    </row>
    <row r="450" spans="1:14">
      <c r="A450" t="s">
        <v>456</v>
      </c>
      <c r="B450" t="s">
        <v>7</v>
      </c>
      <c r="C450">
        <v>16</v>
      </c>
      <c r="D450">
        <v>70.8</v>
      </c>
      <c r="E450">
        <v>53</v>
      </c>
      <c r="F450">
        <v>43</v>
      </c>
      <c r="G450" t="str">
        <f t="shared" ref="G450:G501" si="56">IF(F450&gt;33,"PASS","FAIL")</f>
        <v>PASS</v>
      </c>
      <c r="H450" t="str">
        <f t="shared" ref="H450:H501" si="57">IF(F450&gt;90,"A",IF(F450&gt;=80,"B",IF(F450&gt;=60,"C",IF(F450&gt;=50,"D","E"))))</f>
        <v>E</v>
      </c>
      <c r="I450" t="str">
        <f t="shared" ref="I450:I501" si="58">IF(F450&gt;=80,"Excellent",IF(F450&gt;=60,"Good",IF(F450&gt;=40,"Average","Poor")))</f>
        <v>Average</v>
      </c>
      <c r="J450">
        <f t="shared" ref="J450:J501" si="59">MAX(F:F)</f>
        <v>95</v>
      </c>
      <c r="K450">
        <f t="shared" ref="K450:K501" si="60">AVERAGE(F:F)</f>
        <v>55.98</v>
      </c>
      <c r="L450">
        <f t="shared" ref="L450:L501" si="61">MIN(F:F)</f>
        <v>20</v>
      </c>
      <c r="M450">
        <f t="shared" ref="M450:M501" si="62">COUNTIF(G:G,"pass")</f>
        <v>462</v>
      </c>
      <c r="N450">
        <f t="shared" ref="N450:N501" si="63">COUNTIF(G:G,"fail")</f>
        <v>38</v>
      </c>
    </row>
    <row r="451" spans="1:14">
      <c r="A451" t="s">
        <v>457</v>
      </c>
      <c r="B451" t="s">
        <v>9</v>
      </c>
      <c r="C451">
        <v>17</v>
      </c>
      <c r="D451">
        <v>51.4</v>
      </c>
      <c r="E451">
        <v>44</v>
      </c>
      <c r="F451">
        <v>53</v>
      </c>
      <c r="G451" t="str">
        <f t="shared" si="56"/>
        <v>PASS</v>
      </c>
      <c r="H451" t="str">
        <f t="shared" si="57"/>
        <v>D</v>
      </c>
      <c r="I451" t="str">
        <f t="shared" si="58"/>
        <v>Average</v>
      </c>
      <c r="J451">
        <f t="shared" si="59"/>
        <v>95</v>
      </c>
      <c r="K451">
        <f t="shared" si="60"/>
        <v>55.98</v>
      </c>
      <c r="L451">
        <f t="shared" si="61"/>
        <v>20</v>
      </c>
      <c r="M451">
        <f t="shared" si="62"/>
        <v>462</v>
      </c>
      <c r="N451">
        <f t="shared" si="63"/>
        <v>38</v>
      </c>
    </row>
    <row r="452" spans="1:14">
      <c r="A452" t="s">
        <v>458</v>
      </c>
      <c r="B452" t="s">
        <v>9</v>
      </c>
      <c r="C452">
        <v>15</v>
      </c>
      <c r="D452">
        <v>63.1</v>
      </c>
      <c r="E452">
        <v>73</v>
      </c>
      <c r="F452">
        <v>40</v>
      </c>
      <c r="G452" t="str">
        <f t="shared" si="56"/>
        <v>PASS</v>
      </c>
      <c r="H452" t="str">
        <f t="shared" si="57"/>
        <v>E</v>
      </c>
      <c r="I452" t="str">
        <f t="shared" si="58"/>
        <v>Average</v>
      </c>
      <c r="J452">
        <f t="shared" si="59"/>
        <v>95</v>
      </c>
      <c r="K452">
        <f t="shared" si="60"/>
        <v>55.98</v>
      </c>
      <c r="L452">
        <f t="shared" si="61"/>
        <v>20</v>
      </c>
      <c r="M452">
        <f t="shared" si="62"/>
        <v>462</v>
      </c>
      <c r="N452">
        <f t="shared" si="63"/>
        <v>38</v>
      </c>
    </row>
    <row r="453" spans="1:14">
      <c r="A453" t="s">
        <v>459</v>
      </c>
      <c r="B453" t="s">
        <v>7</v>
      </c>
      <c r="C453">
        <v>18</v>
      </c>
      <c r="D453">
        <v>86.3</v>
      </c>
      <c r="E453">
        <v>49</v>
      </c>
      <c r="F453">
        <v>72</v>
      </c>
      <c r="G453" t="str">
        <f t="shared" si="56"/>
        <v>PASS</v>
      </c>
      <c r="H453" t="str">
        <f t="shared" si="57"/>
        <v>C</v>
      </c>
      <c r="I453" t="str">
        <f t="shared" si="58"/>
        <v>Good</v>
      </c>
      <c r="J453">
        <f t="shared" si="59"/>
        <v>95</v>
      </c>
      <c r="K453">
        <f t="shared" si="60"/>
        <v>55.98</v>
      </c>
      <c r="L453">
        <f t="shared" si="61"/>
        <v>20</v>
      </c>
      <c r="M453">
        <f t="shared" si="62"/>
        <v>462</v>
      </c>
      <c r="N453">
        <f t="shared" si="63"/>
        <v>38</v>
      </c>
    </row>
    <row r="454" spans="1:14">
      <c r="A454" t="s">
        <v>460</v>
      </c>
      <c r="B454" t="s">
        <v>7</v>
      </c>
      <c r="C454">
        <v>15</v>
      </c>
      <c r="D454">
        <v>96.7</v>
      </c>
      <c r="E454">
        <v>51</v>
      </c>
      <c r="F454">
        <v>59</v>
      </c>
      <c r="G454" t="str">
        <f t="shared" si="56"/>
        <v>PASS</v>
      </c>
      <c r="H454" t="str">
        <f t="shared" si="57"/>
        <v>D</v>
      </c>
      <c r="I454" t="str">
        <f t="shared" si="58"/>
        <v>Average</v>
      </c>
      <c r="J454">
        <f t="shared" si="59"/>
        <v>95</v>
      </c>
      <c r="K454">
        <f t="shared" si="60"/>
        <v>55.98</v>
      </c>
      <c r="L454">
        <f t="shared" si="61"/>
        <v>20</v>
      </c>
      <c r="M454">
        <f t="shared" si="62"/>
        <v>462</v>
      </c>
      <c r="N454">
        <f t="shared" si="63"/>
        <v>38</v>
      </c>
    </row>
    <row r="455" spans="1:14">
      <c r="A455" t="s">
        <v>461</v>
      </c>
      <c r="B455" t="s">
        <v>9</v>
      </c>
      <c r="C455">
        <v>17</v>
      </c>
      <c r="D455">
        <v>66.5</v>
      </c>
      <c r="E455">
        <v>78</v>
      </c>
      <c r="F455">
        <v>46</v>
      </c>
      <c r="G455" t="str">
        <f t="shared" si="56"/>
        <v>PASS</v>
      </c>
      <c r="H455" t="str">
        <f t="shared" si="57"/>
        <v>E</v>
      </c>
      <c r="I455" t="str">
        <f t="shared" si="58"/>
        <v>Average</v>
      </c>
      <c r="J455">
        <f t="shared" si="59"/>
        <v>95</v>
      </c>
      <c r="K455">
        <f t="shared" si="60"/>
        <v>55.98</v>
      </c>
      <c r="L455">
        <f t="shared" si="61"/>
        <v>20</v>
      </c>
      <c r="M455">
        <f t="shared" si="62"/>
        <v>462</v>
      </c>
      <c r="N455">
        <f t="shared" si="63"/>
        <v>38</v>
      </c>
    </row>
    <row r="456" spans="1:14">
      <c r="A456" t="s">
        <v>462</v>
      </c>
      <c r="B456" t="s">
        <v>7</v>
      </c>
      <c r="C456">
        <v>15</v>
      </c>
      <c r="D456">
        <v>72.2</v>
      </c>
      <c r="E456">
        <v>93</v>
      </c>
      <c r="F456">
        <v>63</v>
      </c>
      <c r="G456" t="str">
        <f t="shared" si="56"/>
        <v>PASS</v>
      </c>
      <c r="H456" t="str">
        <f t="shared" si="57"/>
        <v>C</v>
      </c>
      <c r="I456" t="str">
        <f t="shared" si="58"/>
        <v>Good</v>
      </c>
      <c r="J456">
        <f t="shared" si="59"/>
        <v>95</v>
      </c>
      <c r="K456">
        <f t="shared" si="60"/>
        <v>55.98</v>
      </c>
      <c r="L456">
        <f t="shared" si="61"/>
        <v>20</v>
      </c>
      <c r="M456">
        <f t="shared" si="62"/>
        <v>462</v>
      </c>
      <c r="N456">
        <f t="shared" si="63"/>
        <v>38</v>
      </c>
    </row>
    <row r="457" spans="1:14">
      <c r="A457" t="s">
        <v>463</v>
      </c>
      <c r="B457" t="s">
        <v>9</v>
      </c>
      <c r="C457">
        <v>15</v>
      </c>
      <c r="D457">
        <v>87.3</v>
      </c>
      <c r="E457">
        <v>82</v>
      </c>
      <c r="F457">
        <v>54</v>
      </c>
      <c r="G457" t="str">
        <f t="shared" si="56"/>
        <v>PASS</v>
      </c>
      <c r="H457" t="str">
        <f t="shared" si="57"/>
        <v>D</v>
      </c>
      <c r="I457" t="str">
        <f t="shared" si="58"/>
        <v>Average</v>
      </c>
      <c r="J457">
        <f t="shared" si="59"/>
        <v>95</v>
      </c>
      <c r="K457">
        <f t="shared" si="60"/>
        <v>55.98</v>
      </c>
      <c r="L457">
        <f t="shared" si="61"/>
        <v>20</v>
      </c>
      <c r="M457">
        <f t="shared" si="62"/>
        <v>462</v>
      </c>
      <c r="N457">
        <f t="shared" si="63"/>
        <v>38</v>
      </c>
    </row>
    <row r="458" spans="1:14">
      <c r="A458" t="s">
        <v>464</v>
      </c>
      <c r="B458" t="s">
        <v>7</v>
      </c>
      <c r="C458">
        <v>15</v>
      </c>
      <c r="D458">
        <v>80.2</v>
      </c>
      <c r="E458">
        <v>88</v>
      </c>
      <c r="F458">
        <v>77</v>
      </c>
      <c r="G458" t="str">
        <f t="shared" si="56"/>
        <v>PASS</v>
      </c>
      <c r="H458" t="str">
        <f t="shared" si="57"/>
        <v>C</v>
      </c>
      <c r="I458" t="str">
        <f t="shared" si="58"/>
        <v>Good</v>
      </c>
      <c r="J458">
        <f t="shared" si="59"/>
        <v>95</v>
      </c>
      <c r="K458">
        <f t="shared" si="60"/>
        <v>55.98</v>
      </c>
      <c r="L458">
        <f t="shared" si="61"/>
        <v>20</v>
      </c>
      <c r="M458">
        <f t="shared" si="62"/>
        <v>462</v>
      </c>
      <c r="N458">
        <f t="shared" si="63"/>
        <v>38</v>
      </c>
    </row>
    <row r="459" spans="1:14">
      <c r="A459" t="s">
        <v>465</v>
      </c>
      <c r="B459" t="s">
        <v>9</v>
      </c>
      <c r="C459">
        <v>15</v>
      </c>
      <c r="D459">
        <v>61.1</v>
      </c>
      <c r="E459">
        <v>76</v>
      </c>
      <c r="F459">
        <v>82</v>
      </c>
      <c r="G459" t="str">
        <f t="shared" si="56"/>
        <v>PASS</v>
      </c>
      <c r="H459" t="str">
        <f t="shared" si="57"/>
        <v>B</v>
      </c>
      <c r="I459" t="str">
        <f t="shared" si="58"/>
        <v>Excellent</v>
      </c>
      <c r="J459">
        <f t="shared" si="59"/>
        <v>95</v>
      </c>
      <c r="K459">
        <f t="shared" si="60"/>
        <v>55.98</v>
      </c>
      <c r="L459">
        <f t="shared" si="61"/>
        <v>20</v>
      </c>
      <c r="M459">
        <f t="shared" si="62"/>
        <v>462</v>
      </c>
      <c r="N459">
        <f t="shared" si="63"/>
        <v>38</v>
      </c>
    </row>
    <row r="460" spans="1:14">
      <c r="A460" t="s">
        <v>466</v>
      </c>
      <c r="B460" t="s">
        <v>9</v>
      </c>
      <c r="C460">
        <v>15</v>
      </c>
      <c r="D460">
        <v>88</v>
      </c>
      <c r="E460">
        <v>75</v>
      </c>
      <c r="F460">
        <v>53</v>
      </c>
      <c r="G460" t="str">
        <f t="shared" si="56"/>
        <v>PASS</v>
      </c>
      <c r="H460" t="str">
        <f t="shared" si="57"/>
        <v>D</v>
      </c>
      <c r="I460" t="str">
        <f t="shared" si="58"/>
        <v>Average</v>
      </c>
      <c r="J460">
        <f t="shared" si="59"/>
        <v>95</v>
      </c>
      <c r="K460">
        <f t="shared" si="60"/>
        <v>55.98</v>
      </c>
      <c r="L460">
        <f t="shared" si="61"/>
        <v>20</v>
      </c>
      <c r="M460">
        <f t="shared" si="62"/>
        <v>462</v>
      </c>
      <c r="N460">
        <f t="shared" si="63"/>
        <v>38</v>
      </c>
    </row>
    <row r="461" spans="1:14">
      <c r="A461" t="s">
        <v>467</v>
      </c>
      <c r="B461" t="s">
        <v>9</v>
      </c>
      <c r="C461">
        <v>19</v>
      </c>
      <c r="D461">
        <v>68.7</v>
      </c>
      <c r="E461">
        <v>93</v>
      </c>
      <c r="F461">
        <v>55</v>
      </c>
      <c r="G461" t="str">
        <f t="shared" si="56"/>
        <v>PASS</v>
      </c>
      <c r="H461" t="str">
        <f t="shared" si="57"/>
        <v>D</v>
      </c>
      <c r="I461" t="str">
        <f t="shared" si="58"/>
        <v>Average</v>
      </c>
      <c r="J461">
        <f t="shared" si="59"/>
        <v>95</v>
      </c>
      <c r="K461">
        <f t="shared" si="60"/>
        <v>55.98</v>
      </c>
      <c r="L461">
        <f t="shared" si="61"/>
        <v>20</v>
      </c>
      <c r="M461">
        <f t="shared" si="62"/>
        <v>462</v>
      </c>
      <c r="N461">
        <f t="shared" si="63"/>
        <v>38</v>
      </c>
    </row>
    <row r="462" spans="1:14">
      <c r="A462" t="s">
        <v>468</v>
      </c>
      <c r="B462" t="s">
        <v>9</v>
      </c>
      <c r="C462">
        <v>15</v>
      </c>
      <c r="D462">
        <v>80.5</v>
      </c>
      <c r="E462">
        <v>57</v>
      </c>
      <c r="F462">
        <v>49</v>
      </c>
      <c r="G462" t="str">
        <f t="shared" si="56"/>
        <v>PASS</v>
      </c>
      <c r="H462" t="str">
        <f t="shared" si="57"/>
        <v>E</v>
      </c>
      <c r="I462" t="str">
        <f t="shared" si="58"/>
        <v>Average</v>
      </c>
      <c r="J462">
        <f t="shared" si="59"/>
        <v>95</v>
      </c>
      <c r="K462">
        <f t="shared" si="60"/>
        <v>55.98</v>
      </c>
      <c r="L462">
        <f t="shared" si="61"/>
        <v>20</v>
      </c>
      <c r="M462">
        <f t="shared" si="62"/>
        <v>462</v>
      </c>
      <c r="N462">
        <f t="shared" si="63"/>
        <v>38</v>
      </c>
    </row>
    <row r="463" spans="1:14">
      <c r="A463" t="s">
        <v>469</v>
      </c>
      <c r="B463" t="s">
        <v>7</v>
      </c>
      <c r="C463">
        <v>17</v>
      </c>
      <c r="D463">
        <v>87.9</v>
      </c>
      <c r="E463">
        <v>88</v>
      </c>
      <c r="F463">
        <v>57</v>
      </c>
      <c r="G463" t="str">
        <f t="shared" si="56"/>
        <v>PASS</v>
      </c>
      <c r="H463" t="str">
        <f t="shared" si="57"/>
        <v>D</v>
      </c>
      <c r="I463" t="str">
        <f t="shared" si="58"/>
        <v>Average</v>
      </c>
      <c r="J463">
        <f t="shared" si="59"/>
        <v>95</v>
      </c>
      <c r="K463">
        <f t="shared" si="60"/>
        <v>55.98</v>
      </c>
      <c r="L463">
        <f t="shared" si="61"/>
        <v>20</v>
      </c>
      <c r="M463">
        <f t="shared" si="62"/>
        <v>462</v>
      </c>
      <c r="N463">
        <f t="shared" si="63"/>
        <v>38</v>
      </c>
    </row>
    <row r="464" spans="1:14">
      <c r="A464" t="s">
        <v>470</v>
      </c>
      <c r="B464" t="s">
        <v>7</v>
      </c>
      <c r="C464">
        <v>18</v>
      </c>
      <c r="D464">
        <v>76.5</v>
      </c>
      <c r="E464">
        <v>95</v>
      </c>
      <c r="F464">
        <v>53</v>
      </c>
      <c r="G464" t="str">
        <f t="shared" si="56"/>
        <v>PASS</v>
      </c>
      <c r="H464" t="str">
        <f t="shared" si="57"/>
        <v>D</v>
      </c>
      <c r="I464" t="str">
        <f t="shared" si="58"/>
        <v>Average</v>
      </c>
      <c r="J464">
        <f t="shared" si="59"/>
        <v>95</v>
      </c>
      <c r="K464">
        <f t="shared" si="60"/>
        <v>55.98</v>
      </c>
      <c r="L464">
        <f t="shared" si="61"/>
        <v>20</v>
      </c>
      <c r="M464">
        <f t="shared" si="62"/>
        <v>462</v>
      </c>
      <c r="N464">
        <f t="shared" si="63"/>
        <v>38</v>
      </c>
    </row>
    <row r="465" spans="1:14">
      <c r="A465" t="s">
        <v>471</v>
      </c>
      <c r="B465" t="s">
        <v>7</v>
      </c>
      <c r="C465">
        <v>19</v>
      </c>
      <c r="D465">
        <v>86.5</v>
      </c>
      <c r="E465">
        <v>71</v>
      </c>
      <c r="F465">
        <v>51</v>
      </c>
      <c r="G465" t="str">
        <f t="shared" si="56"/>
        <v>PASS</v>
      </c>
      <c r="H465" t="str">
        <f t="shared" si="57"/>
        <v>D</v>
      </c>
      <c r="I465" t="str">
        <f t="shared" si="58"/>
        <v>Average</v>
      </c>
      <c r="J465">
        <f t="shared" si="59"/>
        <v>95</v>
      </c>
      <c r="K465">
        <f t="shared" si="60"/>
        <v>55.98</v>
      </c>
      <c r="L465">
        <f t="shared" si="61"/>
        <v>20</v>
      </c>
      <c r="M465">
        <f t="shared" si="62"/>
        <v>462</v>
      </c>
      <c r="N465">
        <f t="shared" si="63"/>
        <v>38</v>
      </c>
    </row>
    <row r="466" spans="1:14">
      <c r="A466" t="s">
        <v>472</v>
      </c>
      <c r="B466" t="s">
        <v>9</v>
      </c>
      <c r="C466">
        <v>18</v>
      </c>
      <c r="D466">
        <v>95.8</v>
      </c>
      <c r="E466">
        <v>73</v>
      </c>
      <c r="F466">
        <v>68</v>
      </c>
      <c r="G466" t="str">
        <f t="shared" si="56"/>
        <v>PASS</v>
      </c>
      <c r="H466" t="str">
        <f t="shared" si="57"/>
        <v>C</v>
      </c>
      <c r="I466" t="str">
        <f t="shared" si="58"/>
        <v>Good</v>
      </c>
      <c r="J466">
        <f t="shared" si="59"/>
        <v>95</v>
      </c>
      <c r="K466">
        <f t="shared" si="60"/>
        <v>55.98</v>
      </c>
      <c r="L466">
        <f t="shared" si="61"/>
        <v>20</v>
      </c>
      <c r="M466">
        <f t="shared" si="62"/>
        <v>462</v>
      </c>
      <c r="N466">
        <f t="shared" si="63"/>
        <v>38</v>
      </c>
    </row>
    <row r="467" spans="1:14">
      <c r="A467" t="s">
        <v>473</v>
      </c>
      <c r="B467" t="s">
        <v>9</v>
      </c>
      <c r="C467">
        <v>16</v>
      </c>
      <c r="D467">
        <v>70.599999999999994</v>
      </c>
      <c r="E467">
        <v>57</v>
      </c>
      <c r="F467">
        <v>32</v>
      </c>
      <c r="G467" t="str">
        <f t="shared" si="56"/>
        <v>FAIL</v>
      </c>
      <c r="H467" t="str">
        <f t="shared" si="57"/>
        <v>E</v>
      </c>
      <c r="I467" t="str">
        <f t="shared" si="58"/>
        <v>Poor</v>
      </c>
      <c r="J467">
        <f t="shared" si="59"/>
        <v>95</v>
      </c>
      <c r="K467">
        <f t="shared" si="60"/>
        <v>55.98</v>
      </c>
      <c r="L467">
        <f t="shared" si="61"/>
        <v>20</v>
      </c>
      <c r="M467">
        <f t="shared" si="62"/>
        <v>462</v>
      </c>
      <c r="N467">
        <f t="shared" si="63"/>
        <v>38</v>
      </c>
    </row>
    <row r="468" spans="1:14">
      <c r="A468" t="s">
        <v>474</v>
      </c>
      <c r="B468" t="s">
        <v>7</v>
      </c>
      <c r="C468">
        <v>19</v>
      </c>
      <c r="D468">
        <v>64.5</v>
      </c>
      <c r="E468">
        <v>94</v>
      </c>
      <c r="F468">
        <v>76</v>
      </c>
      <c r="G468" t="str">
        <f t="shared" si="56"/>
        <v>PASS</v>
      </c>
      <c r="H468" t="str">
        <f t="shared" si="57"/>
        <v>C</v>
      </c>
      <c r="I468" t="str">
        <f t="shared" si="58"/>
        <v>Good</v>
      </c>
      <c r="J468">
        <f t="shared" si="59"/>
        <v>95</v>
      </c>
      <c r="K468">
        <f t="shared" si="60"/>
        <v>55.98</v>
      </c>
      <c r="L468">
        <f t="shared" si="61"/>
        <v>20</v>
      </c>
      <c r="M468">
        <f t="shared" si="62"/>
        <v>462</v>
      </c>
      <c r="N468">
        <f t="shared" si="63"/>
        <v>38</v>
      </c>
    </row>
    <row r="469" spans="1:14">
      <c r="A469" t="s">
        <v>475</v>
      </c>
      <c r="B469" t="s">
        <v>9</v>
      </c>
      <c r="C469">
        <v>15</v>
      </c>
      <c r="D469">
        <v>67.599999999999994</v>
      </c>
      <c r="E469">
        <v>84</v>
      </c>
      <c r="F469">
        <v>86</v>
      </c>
      <c r="G469" t="str">
        <f t="shared" si="56"/>
        <v>PASS</v>
      </c>
      <c r="H469" t="str">
        <f t="shared" si="57"/>
        <v>B</v>
      </c>
      <c r="I469" t="str">
        <f t="shared" si="58"/>
        <v>Excellent</v>
      </c>
      <c r="J469">
        <f t="shared" si="59"/>
        <v>95</v>
      </c>
      <c r="K469">
        <f t="shared" si="60"/>
        <v>55.98</v>
      </c>
      <c r="L469">
        <f t="shared" si="61"/>
        <v>20</v>
      </c>
      <c r="M469">
        <f t="shared" si="62"/>
        <v>462</v>
      </c>
      <c r="N469">
        <f t="shared" si="63"/>
        <v>38</v>
      </c>
    </row>
    <row r="470" spans="1:14">
      <c r="A470" t="s">
        <v>476</v>
      </c>
      <c r="B470" t="s">
        <v>7</v>
      </c>
      <c r="C470">
        <v>19</v>
      </c>
      <c r="D470">
        <v>51.3</v>
      </c>
      <c r="E470">
        <v>55</v>
      </c>
      <c r="F470">
        <v>26</v>
      </c>
      <c r="G470" t="str">
        <f t="shared" si="56"/>
        <v>FAIL</v>
      </c>
      <c r="H470" t="str">
        <f t="shared" si="57"/>
        <v>E</v>
      </c>
      <c r="I470" t="str">
        <f t="shared" si="58"/>
        <v>Poor</v>
      </c>
      <c r="J470">
        <f t="shared" si="59"/>
        <v>95</v>
      </c>
      <c r="K470">
        <f t="shared" si="60"/>
        <v>55.98</v>
      </c>
      <c r="L470">
        <f t="shared" si="61"/>
        <v>20</v>
      </c>
      <c r="M470">
        <f t="shared" si="62"/>
        <v>462</v>
      </c>
      <c r="N470">
        <f t="shared" si="63"/>
        <v>38</v>
      </c>
    </row>
    <row r="471" spans="1:14">
      <c r="A471" t="s">
        <v>477</v>
      </c>
      <c r="B471" t="s">
        <v>7</v>
      </c>
      <c r="C471">
        <v>17</v>
      </c>
      <c r="D471">
        <v>62.5</v>
      </c>
      <c r="E471">
        <v>34</v>
      </c>
      <c r="F471">
        <v>56</v>
      </c>
      <c r="G471" t="str">
        <f t="shared" si="56"/>
        <v>PASS</v>
      </c>
      <c r="H471" t="str">
        <f t="shared" si="57"/>
        <v>D</v>
      </c>
      <c r="I471" t="str">
        <f t="shared" si="58"/>
        <v>Average</v>
      </c>
      <c r="J471">
        <f t="shared" si="59"/>
        <v>95</v>
      </c>
      <c r="K471">
        <f t="shared" si="60"/>
        <v>55.98</v>
      </c>
      <c r="L471">
        <f t="shared" si="61"/>
        <v>20</v>
      </c>
      <c r="M471">
        <f t="shared" si="62"/>
        <v>462</v>
      </c>
      <c r="N471">
        <f t="shared" si="63"/>
        <v>38</v>
      </c>
    </row>
    <row r="472" spans="1:14">
      <c r="A472" t="s">
        <v>478</v>
      </c>
      <c r="B472" t="s">
        <v>9</v>
      </c>
      <c r="C472">
        <v>15</v>
      </c>
      <c r="D472">
        <v>93.4</v>
      </c>
      <c r="E472">
        <v>60</v>
      </c>
      <c r="F472">
        <v>72</v>
      </c>
      <c r="G472" t="str">
        <f t="shared" si="56"/>
        <v>PASS</v>
      </c>
      <c r="H472" t="str">
        <f t="shared" si="57"/>
        <v>C</v>
      </c>
      <c r="I472" t="str">
        <f t="shared" si="58"/>
        <v>Good</v>
      </c>
      <c r="J472">
        <f t="shared" si="59"/>
        <v>95</v>
      </c>
      <c r="K472">
        <f t="shared" si="60"/>
        <v>55.98</v>
      </c>
      <c r="L472">
        <f t="shared" si="61"/>
        <v>20</v>
      </c>
      <c r="M472">
        <f t="shared" si="62"/>
        <v>462</v>
      </c>
      <c r="N472">
        <f t="shared" si="63"/>
        <v>38</v>
      </c>
    </row>
    <row r="473" spans="1:14">
      <c r="A473" t="s">
        <v>479</v>
      </c>
      <c r="B473" t="s">
        <v>9</v>
      </c>
      <c r="C473">
        <v>15</v>
      </c>
      <c r="D473">
        <v>69.400000000000006</v>
      </c>
      <c r="E473">
        <v>62</v>
      </c>
      <c r="F473">
        <v>45</v>
      </c>
      <c r="G473" t="str">
        <f t="shared" si="56"/>
        <v>PASS</v>
      </c>
      <c r="H473" t="str">
        <f t="shared" si="57"/>
        <v>E</v>
      </c>
      <c r="I473" t="str">
        <f t="shared" si="58"/>
        <v>Average</v>
      </c>
      <c r="J473">
        <f t="shared" si="59"/>
        <v>95</v>
      </c>
      <c r="K473">
        <f t="shared" si="60"/>
        <v>55.98</v>
      </c>
      <c r="L473">
        <f t="shared" si="61"/>
        <v>20</v>
      </c>
      <c r="M473">
        <f t="shared" si="62"/>
        <v>462</v>
      </c>
      <c r="N473">
        <f t="shared" si="63"/>
        <v>38</v>
      </c>
    </row>
    <row r="474" spans="1:14">
      <c r="A474" t="s">
        <v>480</v>
      </c>
      <c r="B474" t="s">
        <v>9</v>
      </c>
      <c r="C474">
        <v>16</v>
      </c>
      <c r="D474">
        <v>85.2</v>
      </c>
      <c r="E474">
        <v>67</v>
      </c>
      <c r="F474">
        <v>70</v>
      </c>
      <c r="G474" t="str">
        <f t="shared" si="56"/>
        <v>PASS</v>
      </c>
      <c r="H474" t="str">
        <f t="shared" si="57"/>
        <v>C</v>
      </c>
      <c r="I474" t="str">
        <f t="shared" si="58"/>
        <v>Good</v>
      </c>
      <c r="J474">
        <f t="shared" si="59"/>
        <v>95</v>
      </c>
      <c r="K474">
        <f t="shared" si="60"/>
        <v>55.98</v>
      </c>
      <c r="L474">
        <f t="shared" si="61"/>
        <v>20</v>
      </c>
      <c r="M474">
        <f t="shared" si="62"/>
        <v>462</v>
      </c>
      <c r="N474">
        <f t="shared" si="63"/>
        <v>38</v>
      </c>
    </row>
    <row r="475" spans="1:14">
      <c r="A475" t="s">
        <v>481</v>
      </c>
      <c r="B475" t="s">
        <v>7</v>
      </c>
      <c r="C475">
        <v>15</v>
      </c>
      <c r="D475">
        <v>98.1</v>
      </c>
      <c r="E475">
        <v>35</v>
      </c>
      <c r="F475">
        <v>44</v>
      </c>
      <c r="G475" t="str">
        <f t="shared" si="56"/>
        <v>PASS</v>
      </c>
      <c r="H475" t="str">
        <f t="shared" si="57"/>
        <v>E</v>
      </c>
      <c r="I475" t="str">
        <f t="shared" si="58"/>
        <v>Average</v>
      </c>
      <c r="J475">
        <f t="shared" si="59"/>
        <v>95</v>
      </c>
      <c r="K475">
        <f t="shared" si="60"/>
        <v>55.98</v>
      </c>
      <c r="L475">
        <f t="shared" si="61"/>
        <v>20</v>
      </c>
      <c r="M475">
        <f t="shared" si="62"/>
        <v>462</v>
      </c>
      <c r="N475">
        <f t="shared" si="63"/>
        <v>38</v>
      </c>
    </row>
    <row r="476" spans="1:14">
      <c r="A476" t="s">
        <v>482</v>
      </c>
      <c r="B476" t="s">
        <v>9</v>
      </c>
      <c r="C476">
        <v>19</v>
      </c>
      <c r="D476">
        <v>56.5</v>
      </c>
      <c r="E476">
        <v>72</v>
      </c>
      <c r="F476">
        <v>45</v>
      </c>
      <c r="G476" t="str">
        <f t="shared" si="56"/>
        <v>PASS</v>
      </c>
      <c r="H476" t="str">
        <f t="shared" si="57"/>
        <v>E</v>
      </c>
      <c r="I476" t="str">
        <f t="shared" si="58"/>
        <v>Average</v>
      </c>
      <c r="J476">
        <f t="shared" si="59"/>
        <v>95</v>
      </c>
      <c r="K476">
        <f t="shared" si="60"/>
        <v>55.98</v>
      </c>
      <c r="L476">
        <f t="shared" si="61"/>
        <v>20</v>
      </c>
      <c r="M476">
        <f t="shared" si="62"/>
        <v>462</v>
      </c>
      <c r="N476">
        <f t="shared" si="63"/>
        <v>38</v>
      </c>
    </row>
    <row r="477" spans="1:14">
      <c r="A477" t="s">
        <v>483</v>
      </c>
      <c r="B477" t="s">
        <v>7</v>
      </c>
      <c r="C477">
        <v>15</v>
      </c>
      <c r="D477">
        <v>96.4</v>
      </c>
      <c r="E477">
        <v>92</v>
      </c>
      <c r="F477">
        <v>66</v>
      </c>
      <c r="G477" t="str">
        <f t="shared" si="56"/>
        <v>PASS</v>
      </c>
      <c r="H477" t="str">
        <f t="shared" si="57"/>
        <v>C</v>
      </c>
      <c r="I477" t="str">
        <f t="shared" si="58"/>
        <v>Good</v>
      </c>
      <c r="J477">
        <f t="shared" si="59"/>
        <v>95</v>
      </c>
      <c r="K477">
        <f t="shared" si="60"/>
        <v>55.98</v>
      </c>
      <c r="L477">
        <f t="shared" si="61"/>
        <v>20</v>
      </c>
      <c r="M477">
        <f t="shared" si="62"/>
        <v>462</v>
      </c>
      <c r="N477">
        <f t="shared" si="63"/>
        <v>38</v>
      </c>
    </row>
    <row r="478" spans="1:14">
      <c r="A478" t="s">
        <v>484</v>
      </c>
      <c r="B478" t="s">
        <v>9</v>
      </c>
      <c r="C478">
        <v>15</v>
      </c>
      <c r="D478">
        <v>85.4</v>
      </c>
      <c r="E478">
        <v>38</v>
      </c>
      <c r="F478">
        <v>83</v>
      </c>
      <c r="G478" t="str">
        <f t="shared" si="56"/>
        <v>PASS</v>
      </c>
      <c r="H478" t="str">
        <f t="shared" si="57"/>
        <v>B</v>
      </c>
      <c r="I478" t="str">
        <f t="shared" si="58"/>
        <v>Excellent</v>
      </c>
      <c r="J478">
        <f t="shared" si="59"/>
        <v>95</v>
      </c>
      <c r="K478">
        <f t="shared" si="60"/>
        <v>55.98</v>
      </c>
      <c r="L478">
        <f t="shared" si="61"/>
        <v>20</v>
      </c>
      <c r="M478">
        <f t="shared" si="62"/>
        <v>462</v>
      </c>
      <c r="N478">
        <f t="shared" si="63"/>
        <v>38</v>
      </c>
    </row>
    <row r="479" spans="1:14">
      <c r="A479" t="s">
        <v>485</v>
      </c>
      <c r="B479" t="s">
        <v>7</v>
      </c>
      <c r="C479">
        <v>18</v>
      </c>
      <c r="D479">
        <v>76.900000000000006</v>
      </c>
      <c r="E479">
        <v>57</v>
      </c>
      <c r="F479">
        <v>68</v>
      </c>
      <c r="G479" t="str">
        <f t="shared" si="56"/>
        <v>PASS</v>
      </c>
      <c r="H479" t="str">
        <f t="shared" si="57"/>
        <v>C</v>
      </c>
      <c r="I479" t="str">
        <f t="shared" si="58"/>
        <v>Good</v>
      </c>
      <c r="J479">
        <f t="shared" si="59"/>
        <v>95</v>
      </c>
      <c r="K479">
        <f t="shared" si="60"/>
        <v>55.98</v>
      </c>
      <c r="L479">
        <f t="shared" si="61"/>
        <v>20</v>
      </c>
      <c r="M479">
        <f t="shared" si="62"/>
        <v>462</v>
      </c>
      <c r="N479">
        <f t="shared" si="63"/>
        <v>38</v>
      </c>
    </row>
    <row r="480" spans="1:14">
      <c r="A480" t="s">
        <v>486</v>
      </c>
      <c r="B480" t="s">
        <v>9</v>
      </c>
      <c r="C480">
        <v>17</v>
      </c>
      <c r="D480">
        <v>64.7</v>
      </c>
      <c r="E480">
        <v>44</v>
      </c>
      <c r="F480">
        <v>53</v>
      </c>
      <c r="G480" t="str">
        <f t="shared" si="56"/>
        <v>PASS</v>
      </c>
      <c r="H480" t="str">
        <f t="shared" si="57"/>
        <v>D</v>
      </c>
      <c r="I480" t="str">
        <f t="shared" si="58"/>
        <v>Average</v>
      </c>
      <c r="J480">
        <f t="shared" si="59"/>
        <v>95</v>
      </c>
      <c r="K480">
        <f t="shared" si="60"/>
        <v>55.98</v>
      </c>
      <c r="L480">
        <f t="shared" si="61"/>
        <v>20</v>
      </c>
      <c r="M480">
        <f t="shared" si="62"/>
        <v>462</v>
      </c>
      <c r="N480">
        <f t="shared" si="63"/>
        <v>38</v>
      </c>
    </row>
    <row r="481" spans="1:14">
      <c r="A481" t="s">
        <v>487</v>
      </c>
      <c r="B481" t="s">
        <v>9</v>
      </c>
      <c r="C481">
        <v>18</v>
      </c>
      <c r="D481">
        <v>95.2</v>
      </c>
      <c r="E481">
        <v>71</v>
      </c>
      <c r="F481">
        <v>53</v>
      </c>
      <c r="G481" t="str">
        <f t="shared" si="56"/>
        <v>PASS</v>
      </c>
      <c r="H481" t="str">
        <f t="shared" si="57"/>
        <v>D</v>
      </c>
      <c r="I481" t="str">
        <f t="shared" si="58"/>
        <v>Average</v>
      </c>
      <c r="J481">
        <f t="shared" si="59"/>
        <v>95</v>
      </c>
      <c r="K481">
        <f t="shared" si="60"/>
        <v>55.98</v>
      </c>
      <c r="L481">
        <f t="shared" si="61"/>
        <v>20</v>
      </c>
      <c r="M481">
        <f t="shared" si="62"/>
        <v>462</v>
      </c>
      <c r="N481">
        <f t="shared" si="63"/>
        <v>38</v>
      </c>
    </row>
    <row r="482" spans="1:14">
      <c r="A482" t="s">
        <v>488</v>
      </c>
      <c r="B482" t="s">
        <v>7</v>
      </c>
      <c r="C482">
        <v>18</v>
      </c>
      <c r="D482">
        <v>77</v>
      </c>
      <c r="E482">
        <v>95</v>
      </c>
      <c r="F482">
        <v>67</v>
      </c>
      <c r="G482" t="str">
        <f t="shared" si="56"/>
        <v>PASS</v>
      </c>
      <c r="H482" t="str">
        <f t="shared" si="57"/>
        <v>C</v>
      </c>
      <c r="I482" t="str">
        <f t="shared" si="58"/>
        <v>Good</v>
      </c>
      <c r="J482">
        <f t="shared" si="59"/>
        <v>95</v>
      </c>
      <c r="K482">
        <f t="shared" si="60"/>
        <v>55.98</v>
      </c>
      <c r="L482">
        <f t="shared" si="61"/>
        <v>20</v>
      </c>
      <c r="M482">
        <f t="shared" si="62"/>
        <v>462</v>
      </c>
      <c r="N482">
        <f t="shared" si="63"/>
        <v>38</v>
      </c>
    </row>
    <row r="483" spans="1:14">
      <c r="A483" t="s">
        <v>489</v>
      </c>
      <c r="B483" t="s">
        <v>9</v>
      </c>
      <c r="C483">
        <v>18</v>
      </c>
      <c r="D483">
        <v>64.8</v>
      </c>
      <c r="E483">
        <v>42</v>
      </c>
      <c r="F483">
        <v>22</v>
      </c>
      <c r="G483" t="str">
        <f t="shared" si="56"/>
        <v>FAIL</v>
      </c>
      <c r="H483" t="str">
        <f t="shared" si="57"/>
        <v>E</v>
      </c>
      <c r="I483" t="str">
        <f t="shared" si="58"/>
        <v>Poor</v>
      </c>
      <c r="J483">
        <f t="shared" si="59"/>
        <v>95</v>
      </c>
      <c r="K483">
        <f t="shared" si="60"/>
        <v>55.98</v>
      </c>
      <c r="L483">
        <f t="shared" si="61"/>
        <v>20</v>
      </c>
      <c r="M483">
        <f t="shared" si="62"/>
        <v>462</v>
      </c>
      <c r="N483">
        <f t="shared" si="63"/>
        <v>38</v>
      </c>
    </row>
    <row r="484" spans="1:14">
      <c r="A484" t="s">
        <v>490</v>
      </c>
      <c r="B484" t="s">
        <v>7</v>
      </c>
      <c r="C484">
        <v>15</v>
      </c>
      <c r="D484">
        <v>83.5</v>
      </c>
      <c r="E484">
        <v>56</v>
      </c>
      <c r="F484">
        <v>50</v>
      </c>
      <c r="G484" t="str">
        <f t="shared" si="56"/>
        <v>PASS</v>
      </c>
      <c r="H484" t="str">
        <f t="shared" si="57"/>
        <v>D</v>
      </c>
      <c r="I484" t="str">
        <f t="shared" si="58"/>
        <v>Average</v>
      </c>
      <c r="J484">
        <f t="shared" si="59"/>
        <v>95</v>
      </c>
      <c r="K484">
        <f t="shared" si="60"/>
        <v>55.98</v>
      </c>
      <c r="L484">
        <f t="shared" si="61"/>
        <v>20</v>
      </c>
      <c r="M484">
        <f t="shared" si="62"/>
        <v>462</v>
      </c>
      <c r="N484">
        <f t="shared" si="63"/>
        <v>38</v>
      </c>
    </row>
    <row r="485" spans="1:14">
      <c r="A485" t="s">
        <v>491</v>
      </c>
      <c r="B485" t="s">
        <v>9</v>
      </c>
      <c r="C485">
        <v>15</v>
      </c>
      <c r="D485">
        <v>84.3</v>
      </c>
      <c r="E485">
        <v>34</v>
      </c>
      <c r="F485">
        <v>56</v>
      </c>
      <c r="G485" t="str">
        <f t="shared" si="56"/>
        <v>PASS</v>
      </c>
      <c r="H485" t="str">
        <f t="shared" si="57"/>
        <v>D</v>
      </c>
      <c r="I485" t="str">
        <f t="shared" si="58"/>
        <v>Average</v>
      </c>
      <c r="J485">
        <f t="shared" si="59"/>
        <v>95</v>
      </c>
      <c r="K485">
        <f t="shared" si="60"/>
        <v>55.98</v>
      </c>
      <c r="L485">
        <f t="shared" si="61"/>
        <v>20</v>
      </c>
      <c r="M485">
        <f t="shared" si="62"/>
        <v>462</v>
      </c>
      <c r="N485">
        <f t="shared" si="63"/>
        <v>38</v>
      </c>
    </row>
    <row r="486" spans="1:14">
      <c r="A486" t="s">
        <v>492</v>
      </c>
      <c r="B486" t="s">
        <v>7</v>
      </c>
      <c r="C486">
        <v>15</v>
      </c>
      <c r="D486">
        <v>89.7</v>
      </c>
      <c r="E486">
        <v>63</v>
      </c>
      <c r="F486">
        <v>48</v>
      </c>
      <c r="G486" t="str">
        <f t="shared" si="56"/>
        <v>PASS</v>
      </c>
      <c r="H486" t="str">
        <f t="shared" si="57"/>
        <v>E</v>
      </c>
      <c r="I486" t="str">
        <f t="shared" si="58"/>
        <v>Average</v>
      </c>
      <c r="J486">
        <f t="shared" si="59"/>
        <v>95</v>
      </c>
      <c r="K486">
        <f t="shared" si="60"/>
        <v>55.98</v>
      </c>
      <c r="L486">
        <f t="shared" si="61"/>
        <v>20</v>
      </c>
      <c r="M486">
        <f t="shared" si="62"/>
        <v>462</v>
      </c>
      <c r="N486">
        <f t="shared" si="63"/>
        <v>38</v>
      </c>
    </row>
    <row r="487" spans="1:14">
      <c r="A487" t="s">
        <v>493</v>
      </c>
      <c r="B487" t="s">
        <v>9</v>
      </c>
      <c r="C487">
        <v>18</v>
      </c>
      <c r="D487">
        <v>70.2</v>
      </c>
      <c r="E487">
        <v>45</v>
      </c>
      <c r="F487">
        <v>65</v>
      </c>
      <c r="G487" t="str">
        <f t="shared" si="56"/>
        <v>PASS</v>
      </c>
      <c r="H487" t="str">
        <f t="shared" si="57"/>
        <v>C</v>
      </c>
      <c r="I487" t="str">
        <f t="shared" si="58"/>
        <v>Good</v>
      </c>
      <c r="J487">
        <f t="shared" si="59"/>
        <v>95</v>
      </c>
      <c r="K487">
        <f t="shared" si="60"/>
        <v>55.98</v>
      </c>
      <c r="L487">
        <f t="shared" si="61"/>
        <v>20</v>
      </c>
      <c r="M487">
        <f t="shared" si="62"/>
        <v>462</v>
      </c>
      <c r="N487">
        <f t="shared" si="63"/>
        <v>38</v>
      </c>
    </row>
    <row r="488" spans="1:14">
      <c r="A488" t="s">
        <v>494</v>
      </c>
      <c r="B488" t="s">
        <v>7</v>
      </c>
      <c r="C488">
        <v>19</v>
      </c>
      <c r="D488">
        <v>87.8</v>
      </c>
      <c r="E488">
        <v>75</v>
      </c>
      <c r="F488">
        <v>48</v>
      </c>
      <c r="G488" t="str">
        <f t="shared" si="56"/>
        <v>PASS</v>
      </c>
      <c r="H488" t="str">
        <f t="shared" si="57"/>
        <v>E</v>
      </c>
      <c r="I488" t="str">
        <f t="shared" si="58"/>
        <v>Average</v>
      </c>
      <c r="J488">
        <f t="shared" si="59"/>
        <v>95</v>
      </c>
      <c r="K488">
        <f t="shared" si="60"/>
        <v>55.98</v>
      </c>
      <c r="L488">
        <f t="shared" si="61"/>
        <v>20</v>
      </c>
      <c r="M488">
        <f t="shared" si="62"/>
        <v>462</v>
      </c>
      <c r="N488">
        <f t="shared" si="63"/>
        <v>38</v>
      </c>
    </row>
    <row r="489" spans="1:14">
      <c r="A489" t="s">
        <v>495</v>
      </c>
      <c r="B489" t="s">
        <v>7</v>
      </c>
      <c r="C489">
        <v>17</v>
      </c>
      <c r="D489">
        <v>84.3</v>
      </c>
      <c r="E489">
        <v>86</v>
      </c>
      <c r="F489">
        <v>79</v>
      </c>
      <c r="G489" t="str">
        <f t="shared" si="56"/>
        <v>PASS</v>
      </c>
      <c r="H489" t="str">
        <f t="shared" si="57"/>
        <v>C</v>
      </c>
      <c r="I489" t="str">
        <f t="shared" si="58"/>
        <v>Good</v>
      </c>
      <c r="J489">
        <f t="shared" si="59"/>
        <v>95</v>
      </c>
      <c r="K489">
        <f t="shared" si="60"/>
        <v>55.98</v>
      </c>
      <c r="L489">
        <f t="shared" si="61"/>
        <v>20</v>
      </c>
      <c r="M489">
        <f t="shared" si="62"/>
        <v>462</v>
      </c>
      <c r="N489">
        <f t="shared" si="63"/>
        <v>38</v>
      </c>
    </row>
    <row r="490" spans="1:14">
      <c r="A490" t="s">
        <v>496</v>
      </c>
      <c r="B490" t="s">
        <v>9</v>
      </c>
      <c r="C490">
        <v>15</v>
      </c>
      <c r="D490">
        <v>57.8</v>
      </c>
      <c r="E490">
        <v>67</v>
      </c>
      <c r="F490">
        <v>61</v>
      </c>
      <c r="G490" t="str">
        <f t="shared" si="56"/>
        <v>PASS</v>
      </c>
      <c r="H490" t="str">
        <f t="shared" si="57"/>
        <v>C</v>
      </c>
      <c r="I490" t="str">
        <f t="shared" si="58"/>
        <v>Good</v>
      </c>
      <c r="J490">
        <f t="shared" si="59"/>
        <v>95</v>
      </c>
      <c r="K490">
        <f t="shared" si="60"/>
        <v>55.98</v>
      </c>
      <c r="L490">
        <f t="shared" si="61"/>
        <v>20</v>
      </c>
      <c r="M490">
        <f t="shared" si="62"/>
        <v>462</v>
      </c>
      <c r="N490">
        <f t="shared" si="63"/>
        <v>38</v>
      </c>
    </row>
    <row r="491" spans="1:14">
      <c r="A491" t="s">
        <v>497</v>
      </c>
      <c r="B491" t="s">
        <v>7</v>
      </c>
      <c r="C491">
        <v>17</v>
      </c>
      <c r="D491">
        <v>94.3</v>
      </c>
      <c r="E491">
        <v>45</v>
      </c>
      <c r="F491">
        <v>57</v>
      </c>
      <c r="G491" t="str">
        <f t="shared" si="56"/>
        <v>PASS</v>
      </c>
      <c r="H491" t="str">
        <f t="shared" si="57"/>
        <v>D</v>
      </c>
      <c r="I491" t="str">
        <f t="shared" si="58"/>
        <v>Average</v>
      </c>
      <c r="J491">
        <f t="shared" si="59"/>
        <v>95</v>
      </c>
      <c r="K491">
        <f t="shared" si="60"/>
        <v>55.98</v>
      </c>
      <c r="L491">
        <f t="shared" si="61"/>
        <v>20</v>
      </c>
      <c r="M491">
        <f t="shared" si="62"/>
        <v>462</v>
      </c>
      <c r="N491">
        <f t="shared" si="63"/>
        <v>38</v>
      </c>
    </row>
    <row r="492" spans="1:14">
      <c r="A492" t="s">
        <v>498</v>
      </c>
      <c r="B492" t="s">
        <v>7</v>
      </c>
      <c r="C492">
        <v>19</v>
      </c>
      <c r="D492">
        <v>69.7</v>
      </c>
      <c r="E492">
        <v>56</v>
      </c>
      <c r="F492">
        <v>71</v>
      </c>
      <c r="G492" t="str">
        <f t="shared" si="56"/>
        <v>PASS</v>
      </c>
      <c r="H492" t="str">
        <f t="shared" si="57"/>
        <v>C</v>
      </c>
      <c r="I492" t="str">
        <f t="shared" si="58"/>
        <v>Good</v>
      </c>
      <c r="J492">
        <f t="shared" si="59"/>
        <v>95</v>
      </c>
      <c r="K492">
        <f t="shared" si="60"/>
        <v>55.98</v>
      </c>
      <c r="L492">
        <f t="shared" si="61"/>
        <v>20</v>
      </c>
      <c r="M492">
        <f t="shared" si="62"/>
        <v>462</v>
      </c>
      <c r="N492">
        <f t="shared" si="63"/>
        <v>38</v>
      </c>
    </row>
    <row r="493" spans="1:14">
      <c r="A493" t="s">
        <v>499</v>
      </c>
      <c r="B493" t="s">
        <v>9</v>
      </c>
      <c r="C493">
        <v>16</v>
      </c>
      <c r="D493">
        <v>95.3</v>
      </c>
      <c r="E493">
        <v>53</v>
      </c>
      <c r="F493">
        <v>53</v>
      </c>
      <c r="G493" t="str">
        <f t="shared" si="56"/>
        <v>PASS</v>
      </c>
      <c r="H493" t="str">
        <f t="shared" si="57"/>
        <v>D</v>
      </c>
      <c r="I493" t="str">
        <f t="shared" si="58"/>
        <v>Average</v>
      </c>
      <c r="J493">
        <f t="shared" si="59"/>
        <v>95</v>
      </c>
      <c r="K493">
        <f t="shared" si="60"/>
        <v>55.98</v>
      </c>
      <c r="L493">
        <f t="shared" si="61"/>
        <v>20</v>
      </c>
      <c r="M493">
        <f t="shared" si="62"/>
        <v>462</v>
      </c>
      <c r="N493">
        <f t="shared" si="63"/>
        <v>38</v>
      </c>
    </row>
    <row r="494" spans="1:14">
      <c r="A494" t="s">
        <v>500</v>
      </c>
      <c r="B494" t="s">
        <v>9</v>
      </c>
      <c r="C494">
        <v>16</v>
      </c>
      <c r="D494">
        <v>59.1</v>
      </c>
      <c r="E494">
        <v>39</v>
      </c>
      <c r="F494">
        <v>27</v>
      </c>
      <c r="G494" t="str">
        <f t="shared" si="56"/>
        <v>FAIL</v>
      </c>
      <c r="H494" t="str">
        <f t="shared" si="57"/>
        <v>E</v>
      </c>
      <c r="I494" t="str">
        <f t="shared" si="58"/>
        <v>Poor</v>
      </c>
      <c r="J494">
        <f t="shared" si="59"/>
        <v>95</v>
      </c>
      <c r="K494">
        <f t="shared" si="60"/>
        <v>55.98</v>
      </c>
      <c r="L494">
        <f t="shared" si="61"/>
        <v>20</v>
      </c>
      <c r="M494">
        <f t="shared" si="62"/>
        <v>462</v>
      </c>
      <c r="N494">
        <f t="shared" si="63"/>
        <v>38</v>
      </c>
    </row>
    <row r="495" spans="1:14">
      <c r="A495" t="s">
        <v>501</v>
      </c>
      <c r="B495" t="s">
        <v>7</v>
      </c>
      <c r="C495">
        <v>17</v>
      </c>
      <c r="D495">
        <v>59.9</v>
      </c>
      <c r="E495">
        <v>75</v>
      </c>
      <c r="F495">
        <v>29</v>
      </c>
      <c r="G495" t="str">
        <f t="shared" si="56"/>
        <v>FAIL</v>
      </c>
      <c r="H495" t="str">
        <f t="shared" si="57"/>
        <v>E</v>
      </c>
      <c r="I495" t="str">
        <f t="shared" si="58"/>
        <v>Poor</v>
      </c>
      <c r="J495">
        <f t="shared" si="59"/>
        <v>95</v>
      </c>
      <c r="K495">
        <f t="shared" si="60"/>
        <v>55.98</v>
      </c>
      <c r="L495">
        <f t="shared" si="61"/>
        <v>20</v>
      </c>
      <c r="M495">
        <f t="shared" si="62"/>
        <v>462</v>
      </c>
      <c r="N495">
        <f t="shared" si="63"/>
        <v>38</v>
      </c>
    </row>
    <row r="496" spans="1:14">
      <c r="A496" t="s">
        <v>502</v>
      </c>
      <c r="B496" t="s">
        <v>7</v>
      </c>
      <c r="C496">
        <v>15</v>
      </c>
      <c r="D496">
        <v>81</v>
      </c>
      <c r="E496">
        <v>87</v>
      </c>
      <c r="F496">
        <v>53</v>
      </c>
      <c r="G496" t="str">
        <f t="shared" si="56"/>
        <v>PASS</v>
      </c>
      <c r="H496" t="str">
        <f t="shared" si="57"/>
        <v>D</v>
      </c>
      <c r="I496" t="str">
        <f t="shared" si="58"/>
        <v>Average</v>
      </c>
      <c r="J496">
        <f t="shared" si="59"/>
        <v>95</v>
      </c>
      <c r="K496">
        <f t="shared" si="60"/>
        <v>55.98</v>
      </c>
      <c r="L496">
        <f t="shared" si="61"/>
        <v>20</v>
      </c>
      <c r="M496">
        <f t="shared" si="62"/>
        <v>462</v>
      </c>
      <c r="N496">
        <f t="shared" si="63"/>
        <v>38</v>
      </c>
    </row>
    <row r="497" spans="1:14">
      <c r="A497" t="s">
        <v>503</v>
      </c>
      <c r="B497" t="s">
        <v>9</v>
      </c>
      <c r="C497">
        <v>19</v>
      </c>
      <c r="D497">
        <v>78.3</v>
      </c>
      <c r="E497">
        <v>51</v>
      </c>
      <c r="F497">
        <v>27</v>
      </c>
      <c r="G497" t="str">
        <f t="shared" si="56"/>
        <v>FAIL</v>
      </c>
      <c r="H497" t="str">
        <f t="shared" si="57"/>
        <v>E</v>
      </c>
      <c r="I497" t="str">
        <f t="shared" si="58"/>
        <v>Poor</v>
      </c>
      <c r="J497">
        <f t="shared" si="59"/>
        <v>95</v>
      </c>
      <c r="K497">
        <f t="shared" si="60"/>
        <v>55.98</v>
      </c>
      <c r="L497">
        <f t="shared" si="61"/>
        <v>20</v>
      </c>
      <c r="M497">
        <f t="shared" si="62"/>
        <v>462</v>
      </c>
      <c r="N497">
        <f t="shared" si="63"/>
        <v>38</v>
      </c>
    </row>
    <row r="498" spans="1:14">
      <c r="A498" t="s">
        <v>504</v>
      </c>
      <c r="B498" t="s">
        <v>9</v>
      </c>
      <c r="C498">
        <v>16</v>
      </c>
      <c r="D498">
        <v>61.1</v>
      </c>
      <c r="E498">
        <v>47</v>
      </c>
      <c r="F498">
        <v>74</v>
      </c>
      <c r="G498" t="str">
        <f t="shared" si="56"/>
        <v>PASS</v>
      </c>
      <c r="H498" t="str">
        <f t="shared" si="57"/>
        <v>C</v>
      </c>
      <c r="I498" t="str">
        <f t="shared" si="58"/>
        <v>Good</v>
      </c>
      <c r="J498">
        <f t="shared" si="59"/>
        <v>95</v>
      </c>
      <c r="K498">
        <f t="shared" si="60"/>
        <v>55.98</v>
      </c>
      <c r="L498">
        <f t="shared" si="61"/>
        <v>20</v>
      </c>
      <c r="M498">
        <f t="shared" si="62"/>
        <v>462</v>
      </c>
      <c r="N498">
        <f t="shared" si="63"/>
        <v>38</v>
      </c>
    </row>
    <row r="499" spans="1:14">
      <c r="A499" t="s">
        <v>505</v>
      </c>
      <c r="B499" t="s">
        <v>9</v>
      </c>
      <c r="C499">
        <v>18</v>
      </c>
      <c r="D499">
        <v>72.3</v>
      </c>
      <c r="E499">
        <v>52</v>
      </c>
      <c r="F499">
        <v>61</v>
      </c>
      <c r="G499" t="str">
        <f t="shared" si="56"/>
        <v>PASS</v>
      </c>
      <c r="H499" t="str">
        <f t="shared" si="57"/>
        <v>C</v>
      </c>
      <c r="I499" t="str">
        <f t="shared" si="58"/>
        <v>Good</v>
      </c>
      <c r="J499">
        <f t="shared" si="59"/>
        <v>95</v>
      </c>
      <c r="K499">
        <f t="shared" si="60"/>
        <v>55.98</v>
      </c>
      <c r="L499">
        <f t="shared" si="61"/>
        <v>20</v>
      </c>
      <c r="M499">
        <f t="shared" si="62"/>
        <v>462</v>
      </c>
      <c r="N499">
        <f t="shared" si="63"/>
        <v>38</v>
      </c>
    </row>
    <row r="500" spans="1:14">
      <c r="A500" t="s">
        <v>506</v>
      </c>
      <c r="B500" t="s">
        <v>7</v>
      </c>
      <c r="C500">
        <v>17</v>
      </c>
      <c r="D500">
        <v>91.3</v>
      </c>
      <c r="E500">
        <v>39</v>
      </c>
      <c r="F500">
        <v>86</v>
      </c>
      <c r="G500" t="str">
        <f t="shared" si="56"/>
        <v>PASS</v>
      </c>
      <c r="H500" t="str">
        <f t="shared" si="57"/>
        <v>B</v>
      </c>
      <c r="I500" t="str">
        <f t="shared" si="58"/>
        <v>Excellent</v>
      </c>
      <c r="J500">
        <f t="shared" si="59"/>
        <v>95</v>
      </c>
      <c r="K500">
        <f t="shared" si="60"/>
        <v>55.98</v>
      </c>
      <c r="L500">
        <f t="shared" si="61"/>
        <v>20</v>
      </c>
      <c r="M500">
        <f t="shared" si="62"/>
        <v>462</v>
      </c>
      <c r="N500">
        <f t="shared" si="63"/>
        <v>38</v>
      </c>
    </row>
    <row r="501" spans="1:14">
      <c r="A501" t="s">
        <v>507</v>
      </c>
      <c r="B501" t="s">
        <v>7</v>
      </c>
      <c r="C501">
        <v>15</v>
      </c>
      <c r="D501">
        <v>75.400000000000006</v>
      </c>
      <c r="E501">
        <v>34</v>
      </c>
      <c r="F501">
        <v>74</v>
      </c>
      <c r="G501" t="str">
        <f t="shared" si="56"/>
        <v>PASS</v>
      </c>
      <c r="H501" t="str">
        <f t="shared" si="57"/>
        <v>C</v>
      </c>
      <c r="I501" t="str">
        <f t="shared" si="58"/>
        <v>Good</v>
      </c>
      <c r="J501">
        <f t="shared" si="59"/>
        <v>95</v>
      </c>
      <c r="K501">
        <f t="shared" si="60"/>
        <v>55.98</v>
      </c>
      <c r="L501">
        <f t="shared" si="61"/>
        <v>20</v>
      </c>
      <c r="M501">
        <f t="shared" si="62"/>
        <v>462</v>
      </c>
      <c r="N501">
        <f t="shared" si="63"/>
        <v>38</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gender analysis</vt:lpstr>
      <vt:lpstr>grade distribution</vt:lpstr>
      <vt:lpstr>Dashboard</vt:lpstr>
      <vt:lpstr>attendance vs final score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anureet kaur</dc:creator>
  <cp:lastModifiedBy>anureet kaur</cp:lastModifiedBy>
  <dcterms:created xsi:type="dcterms:W3CDTF">2026-05-10T10:58:37Z</dcterms:created>
  <dcterms:modified xsi:type="dcterms:W3CDTF">2026-05-12T16:41:39Z</dcterms:modified>
</cp:coreProperties>
</file>